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16988d42cf31abb/ForgePoint/Projects/"/>
    </mc:Choice>
  </mc:AlternateContent>
  <xr:revisionPtr revIDLastSave="306" documentId="8_{240D3D2E-F372-4F9B-9F55-825F08F6286E}" xr6:coauthVersionLast="47" xr6:coauthVersionMax="47" xr10:uidLastSave="{CD30E789-71B4-4BF2-9EE4-CBA7AC6B66D7}"/>
  <bookViews>
    <workbookView xWindow="-120" yWindow="-120" windowWidth="29040" windowHeight="15720" xr2:uid="{FF2C9A5E-D369-4949-A285-BED336F663C7}"/>
  </bookViews>
  <sheets>
    <sheet name="Main Dashboard" sheetId="1" r:id="rId1"/>
    <sheet name="Lists" sheetId="3" state="hidden" r:id="rId2"/>
    <sheet name="Needs Log" sheetId="2" r:id="rId3"/>
  </sheets>
  <functionGroups builtInGroupCount="19"/>
  <definedNames>
    <definedName name="_xleta.DATE" hidden="1" xlm="1">#NAME?</definedName>
    <definedName name="_xlpm.Borrower" hidden="1" xlm="1">#NAME?</definedName>
    <definedName name="_xlpm.Sent" hidden="1" xlm="1">#NAME?</definedName>
    <definedName name="_xlpm.Signe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7" i="2" l="1"/>
  <c r="M57" i="2"/>
  <c r="N57" i="2"/>
  <c r="O57" i="2"/>
  <c r="P57" i="2"/>
  <c r="G5" i="1" a="1"/>
  <c r="G5" i="1" s="1"/>
  <c r="F5" i="1" a="1"/>
  <c r="F5" i="1" s="1"/>
  <c r="K56" i="2" l="1"/>
  <c r="M56" i="2"/>
  <c r="N56" i="2"/>
  <c r="O56" i="2"/>
  <c r="P56" i="2"/>
  <c r="K55" i="2" l="1"/>
  <c r="M55" i="2"/>
  <c r="N55" i="2"/>
  <c r="O55" i="2"/>
  <c r="P55" i="2"/>
  <c r="AM5" i="1" a="1"/>
  <c r="AM5" i="1" s="1"/>
  <c r="K54" i="2"/>
  <c r="M54" i="2"/>
  <c r="N54" i="2"/>
  <c r="O54" i="2"/>
  <c r="P54" i="2"/>
  <c r="K53" i="2"/>
  <c r="M53" i="2"/>
  <c r="N53" i="2"/>
  <c r="O53" i="2"/>
  <c r="P53" i="2"/>
  <c r="K52" i="2"/>
  <c r="M52" i="2"/>
  <c r="N52" i="2"/>
  <c r="O52" i="2"/>
  <c r="P52" i="2"/>
  <c r="K51" i="2"/>
  <c r="M51" i="2"/>
  <c r="N51" i="2"/>
  <c r="O51" i="2"/>
  <c r="P51" i="2"/>
  <c r="K50" i="2"/>
  <c r="M50" i="2"/>
  <c r="N50" i="2"/>
  <c r="O50" i="2"/>
  <c r="P50" i="2"/>
  <c r="K49" i="2"/>
  <c r="M49" i="2"/>
  <c r="N49" i="2"/>
  <c r="O49" i="2"/>
  <c r="P49" i="2"/>
  <c r="K48" i="2"/>
  <c r="M48" i="2"/>
  <c r="N48" i="2"/>
  <c r="O48" i="2"/>
  <c r="P48" i="2"/>
  <c r="K47" i="2"/>
  <c r="M47" i="2"/>
  <c r="N47" i="2"/>
  <c r="O47" i="2"/>
  <c r="P47" i="2"/>
  <c r="S29" i="1"/>
  <c r="T29" i="1"/>
  <c r="AB29" i="1"/>
  <c r="W8" i="1"/>
  <c r="R29" i="1" l="1"/>
  <c r="U29" i="1"/>
  <c r="V29" i="1" s="1"/>
  <c r="K46" i="2" l="1"/>
  <c r="M46" i="2"/>
  <c r="N46" i="2"/>
  <c r="O46" i="2"/>
  <c r="P46" i="2"/>
  <c r="K45" i="2"/>
  <c r="M45" i="2"/>
  <c r="N45" i="2"/>
  <c r="O45" i="2"/>
  <c r="P45" i="2"/>
  <c r="N7" i="1" l="1"/>
  <c r="W6" i="1"/>
  <c r="W5" i="1"/>
  <c r="W7" i="1"/>
  <c r="W4" i="1"/>
  <c r="W10" i="1"/>
  <c r="N6" i="1"/>
  <c r="K44" i="2" l="1"/>
  <c r="M44" i="2"/>
  <c r="T28" i="1" s="1"/>
  <c r="N44" i="2"/>
  <c r="O44" i="2"/>
  <c r="P44" i="2"/>
  <c r="K43" i="2"/>
  <c r="M43" i="2"/>
  <c r="S28" i="1" s="1"/>
  <c r="N43" i="2"/>
  <c r="O43" i="2"/>
  <c r="P43" i="2"/>
  <c r="K42" i="2"/>
  <c r="M42" i="2"/>
  <c r="N42" i="2"/>
  <c r="O42" i="2"/>
  <c r="P42" i="2"/>
  <c r="K41" i="2"/>
  <c r="M41" i="2"/>
  <c r="N41" i="2"/>
  <c r="O41" i="2"/>
  <c r="P41" i="2"/>
  <c r="AB28" i="1"/>
  <c r="N5" i="1"/>
  <c r="K40" i="2"/>
  <c r="M40" i="2"/>
  <c r="N40" i="2"/>
  <c r="O40" i="2"/>
  <c r="P40" i="2"/>
  <c r="K39" i="2"/>
  <c r="M39" i="2"/>
  <c r="T27" i="1" s="1"/>
  <c r="N39" i="2"/>
  <c r="O39" i="2"/>
  <c r="P39" i="2"/>
  <c r="K38" i="2"/>
  <c r="M38" i="2"/>
  <c r="N38" i="2"/>
  <c r="O38" i="2"/>
  <c r="P38" i="2"/>
  <c r="K37" i="2"/>
  <c r="M37" i="2"/>
  <c r="N37" i="2"/>
  <c r="O37" i="2"/>
  <c r="P37" i="2"/>
  <c r="K36" i="2"/>
  <c r="M36" i="2"/>
  <c r="N36" i="2"/>
  <c r="O36" i="2"/>
  <c r="P36" i="2"/>
  <c r="K35" i="2"/>
  <c r="M35" i="2"/>
  <c r="N35" i="2"/>
  <c r="O35" i="2"/>
  <c r="P35" i="2"/>
  <c r="AB27" i="1"/>
  <c r="K34" i="2"/>
  <c r="M34" i="2"/>
  <c r="N34" i="2"/>
  <c r="O34" i="2"/>
  <c r="P34" i="2"/>
  <c r="K33" i="2"/>
  <c r="M33" i="2"/>
  <c r="N33" i="2"/>
  <c r="O33" i="2"/>
  <c r="P33" i="2"/>
  <c r="K32" i="2"/>
  <c r="M32" i="2"/>
  <c r="N32" i="2"/>
  <c r="O32" i="2"/>
  <c r="P32" i="2"/>
  <c r="K31" i="2"/>
  <c r="M31" i="2"/>
  <c r="N31" i="2"/>
  <c r="O31" i="2"/>
  <c r="P31" i="2"/>
  <c r="K30" i="2"/>
  <c r="M30" i="2"/>
  <c r="N30" i="2"/>
  <c r="O30" i="2"/>
  <c r="P30" i="2"/>
  <c r="K29" i="2"/>
  <c r="M29" i="2"/>
  <c r="S26" i="1" s="1"/>
  <c r="N29" i="2"/>
  <c r="O29" i="2"/>
  <c r="P29" i="2"/>
  <c r="K28" i="2"/>
  <c r="M28" i="2"/>
  <c r="N28" i="2"/>
  <c r="O28" i="2"/>
  <c r="P28" i="2"/>
  <c r="K27" i="2"/>
  <c r="M27" i="2"/>
  <c r="N27" i="2"/>
  <c r="O27" i="2"/>
  <c r="P27" i="2"/>
  <c r="K26" i="2"/>
  <c r="M26" i="2"/>
  <c r="N26" i="2"/>
  <c r="O26" i="2"/>
  <c r="P26" i="2"/>
  <c r="K25" i="2"/>
  <c r="M25" i="2"/>
  <c r="N25" i="2"/>
  <c r="O25" i="2"/>
  <c r="P25" i="2"/>
  <c r="K24" i="2"/>
  <c r="M24" i="2"/>
  <c r="N24" i="2"/>
  <c r="O24" i="2"/>
  <c r="P24" i="2"/>
  <c r="AB26" i="1"/>
  <c r="K23" i="2"/>
  <c r="M23" i="2"/>
  <c r="N23" i="2"/>
  <c r="O23" i="2"/>
  <c r="P23" i="2"/>
  <c r="K22" i="2"/>
  <c r="M22" i="2"/>
  <c r="N22" i="2"/>
  <c r="O22" i="2"/>
  <c r="P22" i="2"/>
  <c r="K21" i="2"/>
  <c r="M21" i="2"/>
  <c r="N21" i="2"/>
  <c r="O21" i="2"/>
  <c r="P21" i="2"/>
  <c r="K20" i="2"/>
  <c r="M20" i="2"/>
  <c r="N20" i="2"/>
  <c r="O20" i="2"/>
  <c r="P20" i="2"/>
  <c r="K19" i="2"/>
  <c r="M19" i="2"/>
  <c r="N19" i="2"/>
  <c r="O19" i="2"/>
  <c r="P19" i="2"/>
  <c r="K18" i="2"/>
  <c r="M18" i="2"/>
  <c r="N18" i="2"/>
  <c r="O18" i="2"/>
  <c r="P18" i="2"/>
  <c r="AB25" i="1"/>
  <c r="K17" i="2"/>
  <c r="M17" i="2"/>
  <c r="N17" i="2"/>
  <c r="O17" i="2"/>
  <c r="P17" i="2"/>
  <c r="K16" i="2"/>
  <c r="M16" i="2"/>
  <c r="N16" i="2"/>
  <c r="O16" i="2"/>
  <c r="P16" i="2"/>
  <c r="K15" i="2"/>
  <c r="M15" i="2"/>
  <c r="N15" i="2"/>
  <c r="O15" i="2"/>
  <c r="P15" i="2"/>
  <c r="K14" i="2"/>
  <c r="M14" i="2"/>
  <c r="N14" i="2"/>
  <c r="O14" i="2"/>
  <c r="P14" i="2"/>
  <c r="K13" i="2"/>
  <c r="M13" i="2"/>
  <c r="N13" i="2"/>
  <c r="O13" i="2"/>
  <c r="P13" i="2"/>
  <c r="K12" i="2"/>
  <c r="M12" i="2"/>
  <c r="N12" i="2"/>
  <c r="O12" i="2"/>
  <c r="P12" i="2"/>
  <c r="K11" i="2"/>
  <c r="M11" i="2"/>
  <c r="N11" i="2"/>
  <c r="O11" i="2"/>
  <c r="P11" i="2"/>
  <c r="K10" i="2"/>
  <c r="M10" i="2"/>
  <c r="N10" i="2"/>
  <c r="O10" i="2"/>
  <c r="P10" i="2"/>
  <c r="K9" i="2"/>
  <c r="M9" i="2"/>
  <c r="N9" i="2"/>
  <c r="O9" i="2"/>
  <c r="P9" i="2"/>
  <c r="AB24" i="1"/>
  <c r="K8" i="2"/>
  <c r="M8" i="2"/>
  <c r="N8" i="2"/>
  <c r="O8" i="2"/>
  <c r="P8" i="2"/>
  <c r="K7" i="2"/>
  <c r="M7" i="2"/>
  <c r="N7" i="2"/>
  <c r="O7" i="2"/>
  <c r="P7" i="2"/>
  <c r="K6" i="2"/>
  <c r="M6" i="2"/>
  <c r="N6" i="2"/>
  <c r="O6" i="2"/>
  <c r="P6" i="2"/>
  <c r="K5" i="2"/>
  <c r="M5" i="2"/>
  <c r="N5" i="2"/>
  <c r="O5" i="2"/>
  <c r="P5" i="2"/>
  <c r="K4" i="2"/>
  <c r="M4" i="2"/>
  <c r="N4" i="2"/>
  <c r="O4" i="2"/>
  <c r="P4" i="2"/>
  <c r="K3" i="2"/>
  <c r="M3" i="2"/>
  <c r="N3" i="2"/>
  <c r="O3" i="2"/>
  <c r="P3" i="2"/>
  <c r="K2" i="2"/>
  <c r="M2" i="2"/>
  <c r="N2" i="2"/>
  <c r="O2" i="2"/>
  <c r="P2" i="2"/>
  <c r="AB23" i="1"/>
  <c r="B5" i="1" l="1" a="1"/>
  <c r="B5" i="1" s="1"/>
  <c r="U28" i="1"/>
  <c r="V28" i="1" s="1"/>
  <c r="C5" i="1" a="1"/>
  <c r="C5" i="1" s="1"/>
  <c r="Q29" i="1" a="1"/>
  <c r="Q29" i="1" s="1"/>
  <c r="K29" i="1" a="1"/>
  <c r="K29" i="1" s="1"/>
  <c r="N29" i="1" a="1"/>
  <c r="N29" i="1" s="1"/>
  <c r="O10" i="1" a="1"/>
  <c r="O10" i="1" s="1"/>
  <c r="P10" i="1" a="1"/>
  <c r="P10" i="1" s="1"/>
  <c r="L10" i="1" a="1"/>
  <c r="L10" i="1" s="1"/>
  <c r="N10" i="1" a="1"/>
  <c r="N10" i="1" s="1"/>
  <c r="K10" i="1" a="1"/>
  <c r="K10" i="1" s="1"/>
  <c r="Q10" i="1" a="1"/>
  <c r="Q10" i="1" s="1"/>
  <c r="R28" i="1"/>
  <c r="S27" i="1"/>
  <c r="K28" i="1" a="1"/>
  <c r="K28" i="1" s="1"/>
  <c r="Q28" i="1" a="1"/>
  <c r="Q28" i="1" s="1"/>
  <c r="N28" i="1" a="1"/>
  <c r="N28" i="1" s="1"/>
  <c r="U27" i="1"/>
  <c r="V27" i="1" s="1"/>
  <c r="R27" i="1"/>
  <c r="Q27" i="1" a="1"/>
  <c r="Q27" i="1" s="1"/>
  <c r="N27" i="1" a="1"/>
  <c r="N27" i="1" s="1"/>
  <c r="K27" i="1" a="1"/>
  <c r="K27" i="1" s="1"/>
  <c r="N24" i="1" a="1"/>
  <c r="N24" i="1" s="1"/>
  <c r="T26" i="1"/>
  <c r="U26" i="1"/>
  <c r="V26" i="1" s="1"/>
  <c r="R26" i="1"/>
  <c r="S25" i="1"/>
  <c r="T25" i="1"/>
  <c r="K26" i="1" a="1"/>
  <c r="K26" i="1" s="1"/>
  <c r="N26" i="1" a="1"/>
  <c r="N26" i="1" s="1"/>
  <c r="Q26" i="1" a="1"/>
  <c r="Q26" i="1" s="1"/>
  <c r="U25" i="1"/>
  <c r="V25" i="1" s="1"/>
  <c r="R25" i="1"/>
  <c r="S24" i="1"/>
  <c r="K25" i="1" a="1"/>
  <c r="K25" i="1" s="1"/>
  <c r="N25" i="1" a="1"/>
  <c r="N25" i="1" s="1"/>
  <c r="T24" i="1"/>
  <c r="Q25" i="1" a="1"/>
  <c r="Q25" i="1" s="1"/>
  <c r="U24" i="1"/>
  <c r="V24" i="1" s="1"/>
  <c r="R24" i="1"/>
  <c r="N23" i="1" a="1"/>
  <c r="N23" i="1" s="1"/>
  <c r="T23" i="1"/>
  <c r="Q23" i="1" a="1"/>
  <c r="Q23" i="1" s="1"/>
  <c r="Q24" i="1" a="1"/>
  <c r="Q24" i="1" s="1"/>
  <c r="K24" i="1" a="1"/>
  <c r="K24" i="1" s="1"/>
  <c r="K23" i="1" a="1"/>
  <c r="K23" i="1" s="1"/>
  <c r="S23" i="1"/>
  <c r="U23" i="1"/>
  <c r="V23" i="1" s="1"/>
  <c r="R2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<sst xmlns="http://schemas.openxmlformats.org/spreadsheetml/2006/main" count="404" uniqueCount="190">
  <si>
    <t>Proactive Follow Up Dashboard</t>
  </si>
  <si>
    <t>Lo</t>
  </si>
  <si>
    <t>Needs List Snap Shot</t>
  </si>
  <si>
    <t>ICD Helper Column</t>
  </si>
  <si>
    <t>Overdue</t>
  </si>
  <si>
    <t>Due Today</t>
  </si>
  <si>
    <t>hidden</t>
  </si>
  <si>
    <t>Closing within 7 Days</t>
  </si>
  <si>
    <t>ICD Not Sent/Signed</t>
  </si>
  <si>
    <t>ADD/DELETE LOAN</t>
  </si>
  <si>
    <t>Borrower Name &amp; Email</t>
  </si>
  <si>
    <t>Daw, Lloyd</t>
  </si>
  <si>
    <t>Borrower Email</t>
  </si>
  <si>
    <t>Closing Date</t>
  </si>
  <si>
    <t>CoBorrower Email</t>
  </si>
  <si>
    <t>Title Contact name</t>
  </si>
  <si>
    <t>Realtor Name</t>
  </si>
  <si>
    <t>Title Contact email</t>
  </si>
  <si>
    <t>Realtor Email</t>
  </si>
  <si>
    <t>DASHBOARD 
QUICK ACTION</t>
  </si>
  <si>
    <t>Borrower Needs</t>
  </si>
  <si>
    <t>Borrower Needs HIDDEN HELPER</t>
  </si>
  <si>
    <t>Title Needs</t>
  </si>
  <si>
    <t>Title Needs Hidden Helper</t>
  </si>
  <si>
    <t>Realtor needs Hidden Helper</t>
  </si>
  <si>
    <t>Realtor Needs</t>
  </si>
  <si>
    <t>File Notes</t>
  </si>
  <si>
    <t>Loan Number</t>
  </si>
  <si>
    <t>Borrower Name</t>
  </si>
  <si>
    <t>Borrower Email1</t>
  </si>
  <si>
    <t>Borrower Email2</t>
  </si>
  <si>
    <t>Loan Officer</t>
  </si>
  <si>
    <t>Status</t>
  </si>
  <si>
    <t>ICD Sent</t>
  </si>
  <si>
    <t>ICD Signed</t>
  </si>
  <si>
    <t>Borrower Needs List</t>
  </si>
  <si>
    <t>Title Contact</t>
  </si>
  <si>
    <t>Title Contact Email</t>
  </si>
  <si>
    <t>Title Needs List</t>
  </si>
  <si>
    <t>Realtor Needs List</t>
  </si>
  <si>
    <t>Borrower Open Conditions</t>
  </si>
  <si>
    <t>Title Open Conditions</t>
  </si>
  <si>
    <t>Realtor Open Conditions</t>
  </si>
  <si>
    <t>Total Open Conditions</t>
  </si>
  <si>
    <t>Priority</t>
  </si>
  <si>
    <t>Last Updated</t>
  </si>
  <si>
    <t>Last Contact Date</t>
  </si>
  <si>
    <t>Quick Action/Review</t>
  </si>
  <si>
    <t>Date Added</t>
  </si>
  <si>
    <t>Days to Close</t>
  </si>
  <si>
    <t>Borrower Count Helper</t>
  </si>
  <si>
    <t>Title Count Helper</t>
  </si>
  <si>
    <t>Realtor Count Helper</t>
  </si>
  <si>
    <t>Total Count Helper</t>
  </si>
  <si>
    <t>Borrower Needs Helper</t>
  </si>
  <si>
    <t>Title Needs Helper</t>
  </si>
  <si>
    <t>Realtor Needs Helper</t>
  </si>
  <si>
    <t>Active Flag</t>
  </si>
  <si>
    <t>Closed Flag</t>
  </si>
  <si>
    <t>Sort Rank</t>
  </si>
  <si>
    <t>Spencer, Landon</t>
  </si>
  <si>
    <t>lando@gmail.com</t>
  </si>
  <si>
    <t>booboo@gmail.com</t>
  </si>
  <si>
    <t>Brian Johnson</t>
  </si>
  <si>
    <t>Processing</t>
  </si>
  <si>
    <t>Yes</t>
  </si>
  <si>
    <t>Ali</t>
  </si>
  <si>
    <t>Ali@title.com</t>
  </si>
  <si>
    <t>Amanda</t>
  </si>
  <si>
    <t>amanda@realtor.com</t>
  </si>
  <si>
    <t>Dougherty, Justin</t>
  </si>
  <si>
    <t>justin@gmail.com</t>
  </si>
  <si>
    <t>sammy@gmail.com</t>
  </si>
  <si>
    <t>Dustin Miller</t>
  </si>
  <si>
    <t>Amy</t>
  </si>
  <si>
    <t>amy@title.com</t>
  </si>
  <si>
    <t>Tyler</t>
  </si>
  <si>
    <t>ty@homes.com</t>
  </si>
  <si>
    <t>Borrower is never available</t>
  </si>
  <si>
    <t>Bateman, Matthew</t>
  </si>
  <si>
    <t>matmalmik@gmail.com</t>
  </si>
  <si>
    <t>meg@email.com</t>
  </si>
  <si>
    <t>Katie Barger</t>
  </si>
  <si>
    <t>No</t>
  </si>
  <si>
    <t>Anthony</t>
  </si>
  <si>
    <t>anthony@title.com</t>
  </si>
  <si>
    <t>Fred</t>
  </si>
  <si>
    <t>Fred@fredshomes.com</t>
  </si>
  <si>
    <t>4/6/2026 2:37 PM - customer is super strange_x000D_
_x000D_
4/3/2026 3:24 PM - Borrower is going on vacation
4/3/2026 9:39 AM - Customer called in with questions, talked through conditions
4/3/2026 9:00 AM - Borrower has very strange hobbies</t>
  </si>
  <si>
    <t>Virgilio, Mallorie</t>
  </si>
  <si>
    <t>malmal@mail.com</t>
  </si>
  <si>
    <t>Nelda Coats</t>
  </si>
  <si>
    <t>Angela</t>
  </si>
  <si>
    <t>Angela@email.com</t>
  </si>
  <si>
    <t>Emma</t>
  </si>
  <si>
    <t>emma@emmashomes.com</t>
  </si>
  <si>
    <t>4/3/2026 3:41 PM - talked to customer today
4/3/2026 9:36 AM - Condition marked done: Remote work letter
4/3/2026 9:36 AM - Condition marked done: 401K statements
4/3/2026 9:24 AM - Condition marked done: 2 months bank statements
4/3/2026 9:24 AM - Borrower moving far from home, works from home and easy to reach</t>
  </si>
  <si>
    <t>herbs@email.com</t>
  </si>
  <si>
    <t>wendy@email.com</t>
  </si>
  <si>
    <t>Shana</t>
  </si>
  <si>
    <t>Shana@email.com</t>
  </si>
  <si>
    <t>Maizey</t>
  </si>
  <si>
    <t>maizey@maizeyhomes.com</t>
  </si>
  <si>
    <t>4/6/2026 3:34 PM - lloyd is wearing a green shirt_x000D_
_x000D_
4/6/2026 3:33 PM - Lloyd is never available on the phone during the day</t>
  </si>
  <si>
    <t>Bennett, Katie</t>
  </si>
  <si>
    <t>katie@email.com</t>
  </si>
  <si>
    <t>carlos@househusband.com</t>
  </si>
  <si>
    <t>Clyde Penton</t>
  </si>
  <si>
    <t>Ryan</t>
  </si>
  <si>
    <t>ryan@email.com</t>
  </si>
  <si>
    <t>Allen</t>
  </si>
  <si>
    <t>Allen@builderhomes.com</t>
  </si>
  <si>
    <t>4/14/2026 12:29 PM - adding test note via dashboard_x000D_
_x000D_
4/13/2026 3:23 PM - This is my new macro_x000D_
_x000D_
4/7/2026 8:59 PM - Katie has brown hair</t>
  </si>
  <si>
    <t>Alford, Shannon</t>
  </si>
  <si>
    <t>shannon@email.com</t>
  </si>
  <si>
    <t>maizey@dogdayloans.com</t>
  </si>
  <si>
    <t>Patti</t>
  </si>
  <si>
    <t>patti@pattishomes.com</t>
  </si>
  <si>
    <t>4/14/2026 9:04 AM - quick close</t>
  </si>
  <si>
    <t>Loan Officer Names</t>
  </si>
  <si>
    <t>Yes/No</t>
  </si>
  <si>
    <t>Lloyd Daw</t>
  </si>
  <si>
    <t>Theresa LeJohn</t>
  </si>
  <si>
    <t>Scott Robinson</t>
  </si>
  <si>
    <t>Liz Tollivar</t>
  </si>
  <si>
    <t>Vin Marcello</t>
  </si>
  <si>
    <t>Marcie Hayhurst</t>
  </si>
  <si>
    <t>Need ID</t>
  </si>
  <si>
    <t>Section</t>
  </si>
  <si>
    <t>Task</t>
  </si>
  <si>
    <t>Due Date</t>
  </si>
  <si>
    <t>Follow Up Date</t>
  </si>
  <si>
    <t>Notes</t>
  </si>
  <si>
    <t>Date Cleared</t>
  </si>
  <si>
    <t>Days Open</t>
  </si>
  <si>
    <t>Aging Bucket</t>
  </si>
  <si>
    <t>Open Flag</t>
  </si>
  <si>
    <t>Display Text Helper</t>
  </si>
  <si>
    <t>Overdue Flag</t>
  </si>
  <si>
    <t>Today Flag</t>
  </si>
  <si>
    <t>Borrower</t>
  </si>
  <si>
    <t>Contract for new position</t>
  </si>
  <si>
    <t>Open</t>
  </si>
  <si>
    <t>Confirmation of last day at new job</t>
  </si>
  <si>
    <t>Done</t>
  </si>
  <si>
    <t>Divorce Decree</t>
  </si>
  <si>
    <t>Title</t>
  </si>
  <si>
    <t>Quit claim deed to be done at closing</t>
  </si>
  <si>
    <t>Prelim CD showing quit claim fee</t>
  </si>
  <si>
    <t>Realtor</t>
  </si>
  <si>
    <t>Addendum to purchase price</t>
  </si>
  <si>
    <t>Private road agreement</t>
  </si>
  <si>
    <t>Last 2 years tax returns</t>
  </si>
  <si>
    <t>2 months bank statements for all accounts</t>
  </si>
  <si>
    <t>Child support agreement</t>
  </si>
  <si>
    <t>Lease agreement for 2406 Jenmatt</t>
  </si>
  <si>
    <t>Prelim CD</t>
  </si>
  <si>
    <t>Title Binder</t>
  </si>
  <si>
    <t>Wiring Instructions</t>
  </si>
  <si>
    <t>Addendum Adding Samantha to contract</t>
  </si>
  <si>
    <t>Page 4 of contract to be signed</t>
  </si>
  <si>
    <t>Most recent paystubs</t>
  </si>
  <si>
    <t>2 most recent WSFS statements</t>
  </si>
  <si>
    <t>Fully executed contract</t>
  </si>
  <si>
    <t>Sellers disclosures to be provided</t>
  </si>
  <si>
    <t>Most recent 2 paystubs</t>
  </si>
  <si>
    <t>2 months bank statements</t>
  </si>
  <si>
    <t>401K statements</t>
  </si>
  <si>
    <t>Stock account statements</t>
  </si>
  <si>
    <t>Remote work letter</t>
  </si>
  <si>
    <t>Copy of signed contract</t>
  </si>
  <si>
    <t>HOA information and fees</t>
  </si>
  <si>
    <t>Missing page 4 of bank statement</t>
  </si>
  <si>
    <t>HOA dues confirmation</t>
  </si>
  <si>
    <t>2 years tax returns</t>
  </si>
  <si>
    <t>Stock statements - 2 months</t>
  </si>
  <si>
    <t>Wiring instructions</t>
  </si>
  <si>
    <t>Addendum to contract</t>
  </si>
  <si>
    <t>page 4 of bank statement</t>
  </si>
  <si>
    <t>paystub</t>
  </si>
  <si>
    <t>bank statements</t>
  </si>
  <si>
    <t>prelim cd with new fees</t>
  </si>
  <si>
    <t>addendum to contract</t>
  </si>
  <si>
    <t>Quit Claim Deed</t>
  </si>
  <si>
    <t>quit claim will be done at closing, will add to schedule B</t>
  </si>
  <si>
    <t>Signed contract addendum</t>
  </si>
  <si>
    <t>w2</t>
  </si>
  <si>
    <t>paystub from new job</t>
  </si>
  <si>
    <t>offer letter</t>
  </si>
  <si>
    <t>7/15/2026 3:19 PM - new test note_x000D_
_x000D_
4/6/2026 12:55 PM - kid is a menace_x000D_
_x000D_
borrower on vacation week before closing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</si>
</sst>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4"/>
      <color rgb="FFFAF8F5"/>
      <name val="Aptos Narrow"/>
      <family val="2"/>
      <scheme val="minor"/>
    </font>
    <font>
      <sz val="11"/>
      <color theme="1"/>
      <name val="Segoe UI"/>
      <family val="2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rgb="FFFAF8F5"/>
      <name val="Aptos Narrow"/>
      <family val="2"/>
      <scheme val="minor"/>
    </font>
    <font>
      <sz val="10"/>
      <color rgb="FF1E2A38"/>
      <name val="Aptos Narrow"/>
      <family val="2"/>
      <scheme val="minor"/>
    </font>
    <font>
      <sz val="10"/>
      <color theme="1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b/>
      <sz val="10"/>
      <color rgb="FFFAF8F5"/>
      <name val="Aptos Narrow"/>
      <family val="2"/>
      <scheme val="minor"/>
    </font>
    <font>
      <b/>
      <sz val="10"/>
      <color rgb="FF1E2A38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rgb="FFFAF8F5"/>
        <bgColor indexed="64"/>
      </patternFill>
    </fill>
    <fill>
      <patternFill patternType="solid">
        <fgColor rgb="FF1E2A38"/>
        <bgColor indexed="64"/>
      </patternFill>
    </fill>
    <fill>
      <patternFill patternType="solid">
        <fgColor rgb="FFDCE8E3"/>
        <bgColor indexed="64"/>
      </patternFill>
    </fill>
    <fill>
      <patternFill patternType="solid">
        <fgColor rgb="FFE3E0EC"/>
        <bgColor indexed="64"/>
      </patternFill>
    </fill>
    <fill>
      <patternFill patternType="solid">
        <fgColor rgb="FFD8E4F0"/>
        <bgColor indexed="64"/>
      </patternFill>
    </fill>
    <fill>
      <patternFill patternType="solid">
        <fgColor rgb="FFEFE3D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96">
    <xf numFmtId="0" fontId="0" fillId="0" borderId="0" xfId="0"/>
    <xf numFmtId="14" fontId="0" fillId="0" borderId="0" xfId="0" applyNumberFormat="1"/>
    <xf numFmtId="0" fontId="5" fillId="0" borderId="0" xfId="0" applyFont="1"/>
    <xf numFmtId="0" fontId="2" fillId="0" borderId="0" xfId="0" applyFont="1"/>
    <xf numFmtId="0" fontId="2" fillId="0" borderId="0" xfId="0" applyFont="1" applyAlignment="1">
      <alignment vertical="center"/>
    </xf>
    <xf numFmtId="0" fontId="6" fillId="0" borderId="0" xfId="0" applyFont="1"/>
    <xf numFmtId="0" fontId="3" fillId="2" borderId="1" xfId="0" applyFont="1" applyFill="1" applyBorder="1" applyAlignment="1">
      <alignment horizontal="center" vertical="center" wrapText="1"/>
    </xf>
    <xf numFmtId="0" fontId="8" fillId="3" borderId="0" xfId="0" applyFont="1" applyFill="1"/>
    <xf numFmtId="0" fontId="8" fillId="3" borderId="0" xfId="0" applyFont="1" applyFill="1" applyAlignment="1">
      <alignment wrapText="1"/>
    </xf>
    <xf numFmtId="0" fontId="9" fillId="3" borderId="0" xfId="0" applyFont="1" applyFill="1"/>
    <xf numFmtId="0" fontId="9" fillId="2" borderId="0" xfId="0" applyFont="1" applyFill="1"/>
    <xf numFmtId="0" fontId="10" fillId="2" borderId="0" xfId="0" applyFont="1" applyFill="1"/>
    <xf numFmtId="0" fontId="11" fillId="2" borderId="0" xfId="1" applyFont="1" applyFill="1"/>
    <xf numFmtId="14" fontId="10" fillId="2" borderId="0" xfId="0" applyNumberFormat="1" applyFont="1" applyFill="1"/>
    <xf numFmtId="0" fontId="10" fillId="2" borderId="0" xfId="0" applyFont="1" applyFill="1" applyAlignment="1">
      <alignment wrapText="1"/>
    </xf>
    <xf numFmtId="0" fontId="11" fillId="2" borderId="0" xfId="1" applyNumberFormat="1" applyFont="1" applyFill="1" applyAlignment="1">
      <alignment wrapText="1"/>
    </xf>
    <xf numFmtId="0" fontId="11" fillId="2" borderId="0" xfId="1" applyFont="1" applyFill="1" applyAlignment="1">
      <alignment wrapText="1"/>
    </xf>
    <xf numFmtId="0" fontId="12" fillId="3" borderId="4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wrapText="1"/>
    </xf>
    <xf numFmtId="0" fontId="10" fillId="5" borderId="0" xfId="0" applyFont="1" applyFill="1" applyAlignment="1">
      <alignment wrapText="1"/>
    </xf>
    <xf numFmtId="0" fontId="13" fillId="5" borderId="13" xfId="0" applyFont="1" applyFill="1" applyBorder="1" applyAlignment="1">
      <alignment wrapText="1"/>
    </xf>
    <xf numFmtId="0" fontId="12" fillId="3" borderId="8" xfId="0" applyFont="1" applyFill="1" applyBorder="1" applyAlignment="1">
      <alignment wrapText="1"/>
    </xf>
    <xf numFmtId="0" fontId="10" fillId="5" borderId="2" xfId="0" applyFont="1" applyFill="1" applyBorder="1" applyAlignment="1">
      <alignment wrapText="1"/>
    </xf>
    <xf numFmtId="0" fontId="10" fillId="4" borderId="2" xfId="0" applyFont="1" applyFill="1" applyBorder="1" applyAlignment="1">
      <alignment wrapText="1"/>
    </xf>
    <xf numFmtId="0" fontId="10" fillId="4" borderId="3" xfId="0" applyFont="1" applyFill="1" applyBorder="1" applyAlignment="1">
      <alignment wrapText="1"/>
    </xf>
    <xf numFmtId="0" fontId="10" fillId="6" borderId="2" xfId="0" applyFont="1" applyFill="1" applyBorder="1" applyAlignment="1">
      <alignment wrapText="1"/>
    </xf>
    <xf numFmtId="0" fontId="10" fillId="3" borderId="0" xfId="0" applyFont="1" applyFill="1"/>
    <xf numFmtId="0" fontId="10" fillId="3" borderId="13" xfId="0" applyFont="1" applyFill="1" applyBorder="1"/>
    <xf numFmtId="0" fontId="12" fillId="3" borderId="14" xfId="0" applyFont="1" applyFill="1" applyBorder="1" applyAlignment="1">
      <alignment wrapText="1"/>
    </xf>
    <xf numFmtId="0" fontId="10" fillId="4" borderId="14" xfId="0" applyFont="1" applyFill="1" applyBorder="1" applyAlignment="1">
      <alignment wrapText="1"/>
    </xf>
    <xf numFmtId="14" fontId="13" fillId="5" borderId="15" xfId="0" applyNumberFormat="1" applyFont="1" applyFill="1" applyBorder="1" applyAlignment="1">
      <alignment horizontal="left" wrapText="1"/>
    </xf>
    <xf numFmtId="14" fontId="10" fillId="4" borderId="0" xfId="0" applyNumberFormat="1" applyFont="1" applyFill="1" applyAlignment="1">
      <alignment horizontal="left" wrapText="1"/>
    </xf>
    <xf numFmtId="0" fontId="12" fillId="3" borderId="9" xfId="0" applyFont="1" applyFill="1" applyBorder="1" applyAlignment="1">
      <alignment wrapText="1"/>
    </xf>
    <xf numFmtId="0" fontId="13" fillId="5" borderId="15" xfId="0" applyFont="1" applyFill="1" applyBorder="1" applyAlignment="1">
      <alignment wrapText="1"/>
    </xf>
    <xf numFmtId="0" fontId="10" fillId="5" borderId="3" xfId="0" applyFont="1" applyFill="1" applyBorder="1" applyAlignment="1">
      <alignment wrapText="1"/>
    </xf>
    <xf numFmtId="0" fontId="10" fillId="6" borderId="3" xfId="0" applyFont="1" applyFill="1" applyBorder="1" applyAlignment="1">
      <alignment wrapText="1"/>
    </xf>
    <xf numFmtId="0" fontId="12" fillId="3" borderId="10" xfId="0" applyFont="1" applyFill="1" applyBorder="1" applyAlignment="1">
      <alignment wrapText="1"/>
    </xf>
    <xf numFmtId="0" fontId="9" fillId="4" borderId="10" xfId="0" applyFont="1" applyFill="1" applyBorder="1" applyAlignment="1">
      <alignment wrapText="1"/>
    </xf>
    <xf numFmtId="0" fontId="13" fillId="4" borderId="11" xfId="0" applyFont="1" applyFill="1" applyBorder="1" applyAlignment="1">
      <alignment horizontal="left" wrapText="1"/>
    </xf>
    <xf numFmtId="14" fontId="10" fillId="6" borderId="0" xfId="0" applyNumberFormat="1" applyFont="1" applyFill="1" applyAlignment="1">
      <alignment horizontal="left" wrapText="1"/>
    </xf>
    <xf numFmtId="0" fontId="12" fillId="3" borderId="12" xfId="0" applyFont="1" applyFill="1" applyBorder="1" applyAlignment="1">
      <alignment wrapText="1"/>
    </xf>
    <xf numFmtId="0" fontId="9" fillId="6" borderId="10" xfId="0" applyFont="1" applyFill="1" applyBorder="1" applyAlignment="1">
      <alignment wrapText="1"/>
    </xf>
    <xf numFmtId="0" fontId="13" fillId="6" borderId="11" xfId="0" applyFont="1" applyFill="1" applyBorder="1" applyAlignment="1">
      <alignment wrapText="1"/>
    </xf>
    <xf numFmtId="0" fontId="10" fillId="3" borderId="14" xfId="0" applyFont="1" applyFill="1" applyBorder="1"/>
    <xf numFmtId="0" fontId="10" fillId="3" borderId="15" xfId="0" applyFont="1" applyFill="1" applyBorder="1"/>
    <xf numFmtId="0" fontId="9" fillId="4" borderId="14" xfId="0" applyFont="1" applyFill="1" applyBorder="1" applyAlignment="1">
      <alignment wrapText="1"/>
    </xf>
    <xf numFmtId="0" fontId="13" fillId="4" borderId="15" xfId="0" applyFont="1" applyFill="1" applyBorder="1" applyAlignment="1">
      <alignment horizontal="left" wrapText="1"/>
    </xf>
    <xf numFmtId="14" fontId="10" fillId="7" borderId="14" xfId="0" applyNumberFormat="1" applyFont="1" applyFill="1" applyBorder="1" applyAlignment="1">
      <alignment horizontal="left" wrapText="1"/>
    </xf>
    <xf numFmtId="0" fontId="9" fillId="6" borderId="14" xfId="0" applyFont="1" applyFill="1" applyBorder="1" applyAlignment="1">
      <alignment wrapText="1"/>
    </xf>
    <xf numFmtId="0" fontId="13" fillId="6" borderId="15" xfId="0" applyFont="1" applyFill="1" applyBorder="1" applyAlignment="1">
      <alignment wrapText="1"/>
    </xf>
    <xf numFmtId="0" fontId="12" fillId="2" borderId="0" xfId="0" applyFont="1" applyFill="1" applyAlignment="1">
      <alignment horizontal="center" wrapText="1"/>
    </xf>
    <xf numFmtId="0" fontId="10" fillId="2" borderId="6" xfId="0" applyFont="1" applyFill="1" applyBorder="1" applyAlignment="1">
      <alignment wrapText="1"/>
    </xf>
    <xf numFmtId="0" fontId="10" fillId="2" borderId="6" xfId="0" applyFont="1" applyFill="1" applyBorder="1" applyAlignment="1">
      <alignment horizontal="left" wrapText="1"/>
    </xf>
    <xf numFmtId="14" fontId="10" fillId="2" borderId="6" xfId="0" applyNumberFormat="1" applyFont="1" applyFill="1" applyBorder="1" applyAlignment="1">
      <alignment horizontal="left" wrapText="1"/>
    </xf>
    <xf numFmtId="0" fontId="12" fillId="3" borderId="15" xfId="0" applyFont="1" applyFill="1" applyBorder="1" applyAlignment="1">
      <alignment horizontal="center" vertical="center" wrapText="1"/>
    </xf>
    <xf numFmtId="0" fontId="10" fillId="5" borderId="11" xfId="0" applyFont="1" applyFill="1" applyBorder="1" applyAlignment="1">
      <alignment vertical="top" wrapText="1"/>
    </xf>
    <xf numFmtId="0" fontId="10" fillId="5" borderId="2" xfId="0" applyFont="1" applyFill="1" applyBorder="1" applyAlignment="1">
      <alignment horizontal="left" vertical="top" wrapText="1"/>
    </xf>
    <xf numFmtId="0" fontId="10" fillId="4" borderId="2" xfId="0" applyFont="1" applyFill="1" applyBorder="1" applyAlignment="1">
      <alignment vertical="top" wrapText="1"/>
    </xf>
    <xf numFmtId="0" fontId="10" fillId="4" borderId="2" xfId="0" applyFont="1" applyFill="1" applyBorder="1" applyAlignment="1">
      <alignment horizontal="left" vertical="top" wrapText="1"/>
    </xf>
    <xf numFmtId="0" fontId="10" fillId="6" borderId="2" xfId="0" applyFont="1" applyFill="1" applyBorder="1" applyAlignment="1">
      <alignment vertical="top" wrapText="1"/>
    </xf>
    <xf numFmtId="0" fontId="10" fillId="5" borderId="13" xfId="0" applyFont="1" applyFill="1" applyBorder="1" applyAlignment="1">
      <alignment vertical="top" wrapText="1"/>
    </xf>
    <xf numFmtId="0" fontId="10" fillId="5" borderId="3" xfId="0" applyFont="1" applyFill="1" applyBorder="1" applyAlignment="1">
      <alignment horizontal="left" vertical="top" wrapText="1"/>
    </xf>
    <xf numFmtId="0" fontId="10" fillId="4" borderId="3" xfId="0" applyFont="1" applyFill="1" applyBorder="1" applyAlignment="1">
      <alignment vertical="top" wrapText="1"/>
    </xf>
    <xf numFmtId="0" fontId="10" fillId="4" borderId="3" xfId="0" applyFont="1" applyFill="1" applyBorder="1" applyAlignment="1">
      <alignment horizontal="left" vertical="top" wrapText="1"/>
    </xf>
    <xf numFmtId="0" fontId="10" fillId="6" borderId="3" xfId="0" applyFont="1" applyFill="1" applyBorder="1" applyAlignment="1">
      <alignment vertical="top" wrapText="1"/>
    </xf>
    <xf numFmtId="0" fontId="10" fillId="5" borderId="4" xfId="0" applyFont="1" applyFill="1" applyBorder="1" applyAlignment="1">
      <alignment wrapText="1"/>
    </xf>
    <xf numFmtId="0" fontId="10" fillId="4" borderId="4" xfId="0" applyFont="1" applyFill="1" applyBorder="1" applyAlignment="1">
      <alignment wrapText="1"/>
    </xf>
    <xf numFmtId="0" fontId="10" fillId="6" borderId="4" xfId="0" applyFont="1" applyFill="1" applyBorder="1" applyAlignment="1">
      <alignment wrapText="1"/>
    </xf>
    <xf numFmtId="0" fontId="10" fillId="5" borderId="15" xfId="0" applyFont="1" applyFill="1" applyBorder="1" applyAlignment="1">
      <alignment vertical="top" wrapText="1"/>
    </xf>
    <xf numFmtId="0" fontId="10" fillId="5" borderId="4" xfId="0" applyFont="1" applyFill="1" applyBorder="1" applyAlignment="1">
      <alignment horizontal="left" vertical="top" wrapText="1"/>
    </xf>
    <xf numFmtId="0" fontId="10" fillId="4" borderId="4" xfId="0" applyFont="1" applyFill="1" applyBorder="1" applyAlignment="1">
      <alignment vertical="top" wrapText="1"/>
    </xf>
    <xf numFmtId="0" fontId="10" fillId="4" borderId="4" xfId="0" applyFont="1" applyFill="1" applyBorder="1" applyAlignment="1">
      <alignment horizontal="left" vertical="top" wrapText="1"/>
    </xf>
    <xf numFmtId="0" fontId="10" fillId="6" borderId="4" xfId="0" applyFont="1" applyFill="1" applyBorder="1" applyAlignment="1">
      <alignment vertical="top" wrapText="1"/>
    </xf>
    <xf numFmtId="0" fontId="12" fillId="3" borderId="0" xfId="0" applyFont="1" applyFill="1" applyAlignment="1">
      <alignment vertical="center" wrapText="1"/>
    </xf>
    <xf numFmtId="0" fontId="12" fillId="3" borderId="13" xfId="0" applyFont="1" applyFill="1" applyBorder="1" applyAlignment="1">
      <alignment vertical="center" wrapText="1"/>
    </xf>
    <xf numFmtId="0" fontId="14" fillId="7" borderId="3" xfId="0" applyFont="1" applyFill="1" applyBorder="1" applyAlignment="1">
      <alignment wrapText="1"/>
    </xf>
    <xf numFmtId="0" fontId="14" fillId="7" borderId="2" xfId="0" applyFont="1" applyFill="1" applyBorder="1" applyAlignment="1">
      <alignment wrapText="1"/>
    </xf>
    <xf numFmtId="0" fontId="14" fillId="7" borderId="4" xfId="0" applyFont="1" applyFill="1" applyBorder="1" applyAlignment="1">
      <alignment wrapText="1"/>
    </xf>
    <xf numFmtId="0" fontId="12" fillId="2" borderId="6" xfId="0" applyFont="1" applyFill="1" applyBorder="1" applyAlignment="1">
      <alignment wrapText="1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 wrapText="1"/>
    </xf>
    <xf numFmtId="0" fontId="4" fillId="3" borderId="6" xfId="0" applyFont="1" applyFill="1" applyBorder="1" applyAlignment="1">
      <alignment horizontal="center" wrapText="1"/>
    </xf>
    <xf numFmtId="0" fontId="4" fillId="3" borderId="7" xfId="0" applyFont="1" applyFill="1" applyBorder="1" applyAlignment="1">
      <alignment horizontal="center" wrapText="1"/>
    </xf>
    <xf numFmtId="0" fontId="10" fillId="7" borderId="2" xfId="0" applyFont="1" applyFill="1" applyBorder="1" applyAlignment="1">
      <alignment horizontal="left" vertical="top" wrapText="1"/>
    </xf>
    <xf numFmtId="0" fontId="10" fillId="7" borderId="3" xfId="0" applyFont="1" applyFill="1" applyBorder="1" applyAlignment="1">
      <alignment horizontal="left" vertical="top" wrapText="1"/>
    </xf>
    <xf numFmtId="0" fontId="10" fillId="7" borderId="4" xfId="0" applyFont="1" applyFill="1" applyBorder="1" applyAlignment="1">
      <alignment horizontal="left" vertical="top" wrapText="1"/>
    </xf>
    <xf numFmtId="0" fontId="4" fillId="2" borderId="0" xfId="0" applyFont="1" applyFill="1" applyAlignment="1">
      <alignment horizontal="center" vertical="center"/>
    </xf>
    <xf numFmtId="0" fontId="12" fillId="3" borderId="12" xfId="0" applyFont="1" applyFill="1" applyBorder="1" applyAlignment="1">
      <alignment horizontal="center" vertical="center"/>
    </xf>
    <xf numFmtId="0" fontId="12" fillId="3" borderId="10" xfId="0" applyFont="1" applyFill="1" applyBorder="1" applyAlignment="1">
      <alignment horizontal="center" vertical="center"/>
    </xf>
    <xf numFmtId="0" fontId="12" fillId="3" borderId="11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2" fillId="3" borderId="13" xfId="0" applyFont="1" applyFill="1" applyBorder="1" applyAlignment="1">
      <alignment horizontal="center" vertical="center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43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numFmt numFmtId="0" formatCode="General"/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 patternType="solid">
          <fgColor indexed="64"/>
          <bgColor rgb="FFFAF8F5"/>
        </patternFill>
      </fill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 patternType="solid">
          <fgColor indexed="64"/>
          <bgColor rgb="FFFAF8F5"/>
        </patternFill>
      </fill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 patternType="solid">
          <fgColor indexed="64"/>
          <bgColor rgb="FFFAF8F5"/>
        </patternFill>
      </fill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 patternType="solid">
          <fgColor indexed="64"/>
          <bgColor rgb="FFFAF8F5"/>
        </patternFill>
      </fill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 patternType="solid">
          <fgColor indexed="64"/>
          <bgColor rgb="FFFAF8F5"/>
        </patternFill>
      </fill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 patternType="solid">
          <fgColor indexed="64"/>
          <bgColor rgb="FFFAF8F5"/>
        </patternFill>
      </fill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 patternType="solid">
          <fgColor indexed="64"/>
          <bgColor rgb="FFFAF8F5"/>
        </patternFill>
      </fill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 patternType="solid">
          <fgColor indexed="64"/>
          <bgColor rgb="FFFAF8F5"/>
        </patternFill>
      </fill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 patternType="solid">
          <fgColor indexed="64"/>
          <bgColor rgb="FFFAF8F5"/>
        </patternFill>
      </fill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 patternType="solid">
          <fgColor indexed="64"/>
          <bgColor rgb="FFFAF8F5"/>
        </patternFill>
      </fill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numFmt numFmtId="0" formatCode="General"/>
      <fill>
        <patternFill patternType="solid">
          <fgColor indexed="64"/>
          <bgColor rgb="FFFAF8F5"/>
        </patternFill>
      </fill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>
          <fgColor indexed="64"/>
          <bgColor rgb="FFFAF8F5"/>
        </patternFill>
      </fill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>
          <fgColor indexed="64"/>
          <bgColor rgb="FFFAF8F5"/>
        </patternFill>
      </fill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numFmt numFmtId="19" formatCode="m/d/yyyy"/>
      <fill>
        <patternFill patternType="solid">
          <fgColor indexed="64"/>
          <bgColor rgb="FFFAF8F5"/>
        </patternFill>
      </fill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>
          <fgColor indexed="64"/>
          <bgColor rgb="FFFAF8F5"/>
        </patternFill>
      </fill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>
          <fgColor indexed="64"/>
          <bgColor rgb="FFFAF8F5"/>
        </patternFill>
      </fill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>
          <fgColor indexed="64"/>
          <bgColor rgb="FFFAF8F5"/>
        </patternFill>
      </fill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 patternType="solid">
          <fgColor indexed="64"/>
          <bgColor rgb="FFFAF8F5"/>
        </patternFill>
      </fill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 patternType="solid">
          <fgColor indexed="64"/>
          <bgColor rgb="FFFAF8F5"/>
        </patternFill>
      </fill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 patternType="solid">
          <fgColor indexed="64"/>
          <bgColor rgb="FFFAF8F5"/>
        </patternFill>
      </fill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 patternType="solid">
          <fgColor indexed="64"/>
          <bgColor rgb="FFFAF8F5"/>
        </patternFill>
      </fill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numFmt numFmtId="0" formatCode="General"/>
      <fill>
        <patternFill>
          <fgColor indexed="64"/>
          <bgColor rgb="FFFAF8F5"/>
        </patternFill>
      </fill>
      <alignment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 patternType="solid">
          <fgColor indexed="64"/>
          <bgColor rgb="FFFAF8F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 patternType="solid">
          <fgColor indexed="64"/>
          <bgColor rgb="FFFAF8F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numFmt numFmtId="0" formatCode="General"/>
      <fill>
        <patternFill>
          <fgColor indexed="64"/>
          <bgColor rgb="FFFAF8F5"/>
        </patternFill>
      </fill>
      <alignment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numFmt numFmtId="0" formatCode="General"/>
      <fill>
        <patternFill patternType="solid">
          <fgColor indexed="64"/>
          <bgColor rgb="FFFAF8F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numFmt numFmtId="0" formatCode="General"/>
      <fill>
        <patternFill patternType="solid">
          <fgColor indexed="64"/>
          <bgColor rgb="FFFAF8F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numFmt numFmtId="0" formatCode="General"/>
      <fill>
        <patternFill>
          <fgColor indexed="64"/>
          <bgColor rgb="FFFAF8F5"/>
        </patternFill>
      </fill>
      <alignment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numFmt numFmtId="19" formatCode="m/d/yyyy"/>
      <fill>
        <patternFill patternType="solid">
          <fgColor indexed="64"/>
          <bgColor rgb="FFFAF8F5"/>
        </patternFill>
      </fill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numFmt numFmtId="19" formatCode="m/d/yyyy"/>
      <fill>
        <patternFill patternType="solid">
          <fgColor indexed="64"/>
          <bgColor rgb="FFFAF8F5"/>
        </patternFill>
      </fill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>
          <fgColor indexed="64"/>
          <bgColor rgb="FFFAF8F5"/>
        </patternFill>
      </fill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>
          <fgColor indexed="64"/>
          <bgColor rgb="FFFAF8F5"/>
        </patternFill>
      </fill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>
          <fgColor indexed="64"/>
          <bgColor rgb="FFFAF8F5"/>
        </patternFill>
      </fill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 patternType="solid">
          <fgColor indexed="64"/>
          <bgColor rgb="FFFAF8F5"/>
        </patternFill>
      </fill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 patternType="solid">
          <fgColor indexed="64"/>
          <bgColor rgb="FFFAF8F5"/>
        </patternFill>
      </fill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>
          <fgColor indexed="64"/>
          <bgColor rgb="FFFAF8F5"/>
        </patternFill>
      </fill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>
          <fgColor indexed="64"/>
          <bgColor rgb="FFFAF8F5"/>
        </patternFill>
      </fill>
    </dxf>
    <dxf>
      <font>
        <strike val="0"/>
        <outline val="0"/>
        <shadow val="0"/>
        <vertAlign val="baseline"/>
        <sz val="10"/>
        <name val="Aptos Narrow"/>
        <family val="2"/>
        <scheme val="minor"/>
      </font>
      <fill>
        <patternFill patternType="solid">
          <fgColor indexed="64"/>
          <bgColor rgb="FFFAF8F5"/>
        </patternFill>
      </fill>
    </dxf>
    <dxf>
      <font>
        <strike val="0"/>
        <outline val="0"/>
        <shadow val="0"/>
        <u val="none"/>
        <vertAlign val="baseline"/>
        <sz val="10"/>
        <color rgb="FF1E2A38"/>
        <name val="Aptos Narrow"/>
        <family val="2"/>
        <scheme val="minor"/>
      </font>
      <fill>
        <patternFill patternType="solid">
          <fgColor indexed="64"/>
          <bgColor rgb="FF1E2A38"/>
        </patternFill>
      </fill>
    </dxf>
  </dxfs>
  <tableStyles count="0" defaultTableStyle="TableStyleMedium2" defaultPivotStyle="PivotStyleLight16"/>
  <colors>
    <mruColors>
      <color rgb="FF1E2A38"/>
      <color rgb="FFFAF8F5"/>
      <color rgb="FFD8E4F0"/>
      <color rgb="FFDCE8E3"/>
      <color rgb="FFE3E0EC"/>
      <color rgb="FFEFE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7</xdr:row>
          <xdr:rowOff>76200</xdr:rowOff>
        </xdr:from>
        <xdr:to>
          <xdr:col>10</xdr:col>
          <xdr:colOff>2495550</xdr:colOff>
          <xdr:row>7</xdr:row>
          <xdr:rowOff>228600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Sent Borrower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7</xdr:row>
          <xdr:rowOff>76200</xdr:rowOff>
        </xdr:from>
        <xdr:to>
          <xdr:col>13</xdr:col>
          <xdr:colOff>2476500</xdr:colOff>
          <xdr:row>7</xdr:row>
          <xdr:rowOff>228600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Send Title Needs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7</xdr:row>
          <xdr:rowOff>76200</xdr:rowOff>
        </xdr:from>
        <xdr:to>
          <xdr:col>16</xdr:col>
          <xdr:colOff>2524125</xdr:colOff>
          <xdr:row>7</xdr:row>
          <xdr:rowOff>228600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Send Realtor Needs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3</xdr:row>
          <xdr:rowOff>390525</xdr:rowOff>
        </xdr:from>
        <xdr:to>
          <xdr:col>9</xdr:col>
          <xdr:colOff>447675</xdr:colOff>
          <xdr:row>4</xdr:row>
          <xdr:rowOff>180975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Loan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5</xdr:row>
          <xdr:rowOff>95250</xdr:rowOff>
        </xdr:from>
        <xdr:to>
          <xdr:col>9</xdr:col>
          <xdr:colOff>447675</xdr:colOff>
          <xdr:row>6</xdr:row>
          <xdr:rowOff>76200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Loan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9</xdr:row>
          <xdr:rowOff>171450</xdr:rowOff>
        </xdr:from>
        <xdr:to>
          <xdr:col>9</xdr:col>
          <xdr:colOff>542925</xdr:colOff>
          <xdr:row>10</xdr:row>
          <xdr:rowOff>161925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Mark Fulfilled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11</xdr:row>
          <xdr:rowOff>76200</xdr:rowOff>
        </xdr:from>
        <xdr:to>
          <xdr:col>9</xdr:col>
          <xdr:colOff>552450</xdr:colOff>
          <xdr:row>12</xdr:row>
          <xdr:rowOff>95250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Edit Condition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13</xdr:row>
          <xdr:rowOff>28575</xdr:rowOff>
        </xdr:from>
        <xdr:to>
          <xdr:col>9</xdr:col>
          <xdr:colOff>571500</xdr:colOff>
          <xdr:row>14</xdr:row>
          <xdr:rowOff>47625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Condition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14</xdr:row>
          <xdr:rowOff>152400</xdr:rowOff>
        </xdr:from>
        <xdr:to>
          <xdr:col>9</xdr:col>
          <xdr:colOff>561975</xdr:colOff>
          <xdr:row>16</xdr:row>
          <xdr:rowOff>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Log Notes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16</xdr:row>
          <xdr:rowOff>114300</xdr:rowOff>
        </xdr:from>
        <xdr:to>
          <xdr:col>9</xdr:col>
          <xdr:colOff>561975</xdr:colOff>
          <xdr:row>17</xdr:row>
          <xdr:rowOff>133350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Mark ICD 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18</xdr:row>
          <xdr:rowOff>76200</xdr:rowOff>
        </xdr:from>
        <xdr:to>
          <xdr:col>9</xdr:col>
          <xdr:colOff>552450</xdr:colOff>
          <xdr:row>19</xdr:row>
          <xdr:rowOff>95250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Mark ICD Signed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E8C181-C3F4-4789-8529-730AFA3BDC66}" name="tblLoans" displayName="tblLoans" ref="B22:AL29" totalsRowShown="0" headerRowDxfId="42" dataDxfId="41">
  <autoFilter ref="B22:AL29" xr:uid="{D5E8C181-C3F4-4789-8529-730AFA3BDC66}"/>
  <tableColumns count="37">
    <tableColumn id="1" xr3:uid="{3825360A-7EC3-448A-A5C9-6A9261051876}" name="Loan Number" dataDxfId="40"/>
    <tableColumn id="2" xr3:uid="{15016B5A-065E-4A67-887F-5397BF11793E}" name="Borrower Name" dataDxfId="39"/>
    <tableColumn id="6" xr3:uid="{EF13ACEB-EA4C-4301-B14C-2E46290A6599}" name="Borrower Email1" dataDxfId="38"/>
    <tableColumn id="30" xr3:uid="{A1F40569-C02C-427E-AD91-31EA1184D5ED}" name="Borrower Email2" dataDxfId="37"/>
    <tableColumn id="3" xr3:uid="{049CBEE5-AF35-4380-8512-C807F12B71BE}" name="Loan Officer" dataDxfId="36"/>
    <tableColumn id="4" xr3:uid="{05461F79-5682-4894-8314-763941C2C486}" name="Status" dataDxfId="35"/>
    <tableColumn id="5" xr3:uid="{987019E7-88D2-4119-8F45-1ED324613003}" name="Closing Date" dataDxfId="34"/>
    <tableColumn id="39" xr3:uid="{93705F66-D3F6-4BCA-B5D5-ADABEE71409C}" name="ICD Sent" dataDxfId="33"/>
    <tableColumn id="40" xr3:uid="{0748C302-BC56-431C-A8EC-62F4EE33CBC1}" name="ICD Signed" dataDxfId="32"/>
    <tableColumn id="7" xr3:uid="{FFBCF614-057B-4333-B235-BB50E07F73D2}" name="Borrower Needs List" dataDxfId="31">
      <calculatedColumnFormula array="1">IFERROR("• "&amp;_xlfn.TEXTJOIN(CHAR(10)&amp;"• ",TRUE,
_xlfn._xlws.FILTER(tblNeeds[Display Text Helper],
(tblNeeds[Loan Number]=tblLoans[[#This Row],[Loan Number]])*
(tblNeeds[Section]="Borrower")*
(tblNeeds[Open Flag]=1)
)),"")</calculatedColumnFormula>
    </tableColumn>
    <tableColumn id="31" xr3:uid="{824580BB-2DC6-49C9-AAAE-F04B267C8A5D}" name="Title Contact" dataDxfId="30"/>
    <tableColumn id="32" xr3:uid="{D5A9A18F-7924-4262-852D-56D55B6F9601}" name="Title Contact Email" dataDxfId="29"/>
    <tableColumn id="8" xr3:uid="{771A9C94-87DA-4D02-BFFD-63F6737CA5ED}" name="Title Needs List" dataDxfId="28">
      <calculatedColumnFormula array="1">IFERROR("• "&amp;_xlfn.TEXTJOIN(CHAR(10)&amp;"• ",TRUE,
_xlfn._xlws.FILTER(tblNeeds[Display Text Helper],
(tblNeeds[Loan Number]=tblLoans[[#This Row],[Loan Number]])*
(tblNeeds[Section]="Title")*
(tblNeeds[Open Flag]=1)
)),"")</calculatedColumnFormula>
    </tableColumn>
    <tableColumn id="35" xr3:uid="{63FAD1C4-96C0-4D9F-8050-0FFA1D65A227}" name="Realtor Name" dataDxfId="27"/>
    <tableColumn id="33" xr3:uid="{02FA0C67-75D1-4818-B147-BFDC5E2C5F8E}" name="Realtor Email" dataDxfId="26"/>
    <tableColumn id="9" xr3:uid="{3E5C91BF-3337-42E1-893C-1DA05B0BB253}" name="Realtor Needs List" dataDxfId="25">
      <calculatedColumnFormula array="1">IFERROR("• "&amp;_xlfn.TEXTJOIN(CHAR(10)&amp;"• ",TRUE,
_xlfn._xlws.FILTER(tblNeeds[Display Text Helper],
(tblNeeds[Loan Number]=tblLoans[[#This Row],[Loan Number]])*
(tblNeeds[Section]="Realtor")*
(tblNeeds[Open Flag]=1)
)),"")</calculatedColumnFormula>
    </tableColumn>
    <tableColumn id="10" xr3:uid="{2303BAB4-109E-4F5A-ACEC-0754E84D5AC8}" name="Borrower Open Conditions" dataDxfId="24">
      <calculatedColumnFormula>COUNTIFS(tblNeeds[Loan Number],tblLoans[[#This Row],[Loan Number]],
tblNeeds[Section],"Borrower",
tblNeeds[Open Flag],1)</calculatedColumnFormula>
    </tableColumn>
    <tableColumn id="11" xr3:uid="{9966AC04-5973-4AFD-A605-470A2F752DB5}" name="Title Open Conditions" dataDxfId="23">
      <calculatedColumnFormula>COUNTIFS(tblNeeds[Loan Number],tblLoans[[#This Row],[Loan Number]],
tblNeeds[Section],"Title",
tblNeeds[Open Flag],1)</calculatedColumnFormula>
    </tableColumn>
    <tableColumn id="12" xr3:uid="{A3CE279D-B7B9-4451-8F39-6822C8566960}" name="Realtor Open Conditions" dataDxfId="22">
      <calculatedColumnFormula>COUNTIFS(tblNeeds[Loan Number],tblLoans[[#This Row],[Loan Number]],
tblNeeds[Section],"Realtor",
tblNeeds[Open Flag],1)</calculatedColumnFormula>
    </tableColumn>
    <tableColumn id="13" xr3:uid="{0C368274-EE25-4E70-84A7-20809B40A49F}" name="Total Open Conditions" dataDxfId="21">
      <calculatedColumnFormula>COUNTIFS(tblNeeds[Loan Number],tblLoans[[#This Row],[Loan Number]],
tblNeeds[Open Flag],1)</calculatedColumnFormula>
    </tableColumn>
    <tableColumn id="14" xr3:uid="{B93FC3AB-3D2F-4C19-B57D-C381BA105FE9}" name="Priority" dataDxfId="20">
      <calculatedColumnFormula>IF(AND(tblLoans[[#This Row],[Closing Date]]&gt;=TODAY(),tblLoans[[#This Row],[Closing Date]]&lt;=TODAY()+3,tblLoans[[#This Row],[Total Open Conditions]]&gt;0),"URGENT",
IF(tblLoans[[#This Row],[Total Open Conditions]]&gt;0,"ACTIVE","CLEAR"))</calculatedColumnFormula>
    </tableColumn>
    <tableColumn id="15" xr3:uid="{2114F755-28C6-4172-909F-0804589F93EB}" name="File Notes" dataDxfId="19"/>
    <tableColumn id="29" xr3:uid="{9F4622CF-1EF4-446F-A00B-A8F86F3FE59F}" name="Last Updated" dataDxfId="18"/>
    <tableColumn id="34" xr3:uid="{6C625401-22FE-4FF5-9C72-2855C292D350}" name="Last Contact Date" dataDxfId="17"/>
    <tableColumn id="16" xr3:uid="{D820A110-69B4-49BB-B5F4-F65C9C9A915B}" name="Quick Action/Review" dataDxfId="16"/>
    <tableColumn id="28" xr3:uid="{566AAFDA-C009-4869-8D0A-AE8D027E3D36}" name="Date Added" dataDxfId="15"/>
    <tableColumn id="17" xr3:uid="{4503AD96-8747-4E05-A454-DA449F4D6761}" name="Days to Close" dataDxfId="14">
      <calculatedColumnFormula>tblLoans[[#This Row],[Closing Date]]-TODAY()</calculatedColumnFormula>
    </tableColumn>
    <tableColumn id="18" xr3:uid="{68B2DA88-022E-4C08-A9C4-2C3D081C62DA}" name="Borrower Count Helper" dataDxfId="13"/>
    <tableColumn id="19" xr3:uid="{216FDA09-1684-48B4-A192-8EEB7465CB4F}" name="Title Count Helper" dataDxfId="12"/>
    <tableColumn id="20" xr3:uid="{5238448A-4BC9-473C-B7FD-7FD29F8A6DA6}" name="Realtor Count Helper" dataDxfId="11"/>
    <tableColumn id="21" xr3:uid="{E306CFD4-D3A6-439D-829E-9D9CB45E604F}" name="Total Count Helper" dataDxfId="10"/>
    <tableColumn id="22" xr3:uid="{1A89CE70-1096-41FA-AB22-853CC45C9F3E}" name="Borrower Needs Helper" dataDxfId="9"/>
    <tableColumn id="23" xr3:uid="{E4386A62-E88F-4732-8E0B-1D2A78C067B8}" name="Title Needs Helper" dataDxfId="8"/>
    <tableColumn id="24" xr3:uid="{80585F60-E1BF-4066-8A30-3C5DCD5C2B2E}" name="Realtor Needs Helper" dataDxfId="7"/>
    <tableColumn id="25" xr3:uid="{49DE3C9F-729C-46E3-965B-70E9C44F8A8A}" name="Active Flag" dataDxfId="6"/>
    <tableColumn id="26" xr3:uid="{C2489776-8DB7-4BD6-B8D4-4ADA2A1D55A0}" name="Closed Flag" dataDxfId="5"/>
    <tableColumn id="27" xr3:uid="{00230A27-2FD5-46B4-A959-65B99FF599A9}" name="Sort Rank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4C6FD3-9204-4084-92A6-EDA28C79C25B}" name="tblNeeds" displayName="tblNeeds" ref="A1:P57" totalsRowShown="0">
  <autoFilter ref="A1:P57" xr:uid="{FF4C6FD3-9204-4084-92A6-EDA28C79C25B}"/>
  <tableColumns count="16">
    <tableColumn id="1" xr3:uid="{666A3618-0161-4BF8-BEA8-EFDC261807D4}" name="Need ID"/>
    <tableColumn id="2" xr3:uid="{6BA44E2C-3AEF-4F80-85A7-297D610FA0E5}" name="Loan Number"/>
    <tableColumn id="3" xr3:uid="{286E5A21-C2E5-4F4D-8C52-BE4B842AB715}" name="Borrower Name"/>
    <tableColumn id="4" xr3:uid="{037EE1A3-7737-4543-918E-8C56D9E17BD7}" name="Section"/>
    <tableColumn id="5" xr3:uid="{044D0609-9835-4B42-A670-9AABE969A272}" name="Task"/>
    <tableColumn id="6" xr3:uid="{749FFE05-35B0-4F2C-BABA-3EC1743E519E}" name="Status"/>
    <tableColumn id="7" xr3:uid="{ABAE0CB6-D304-4027-BA0F-90098B9D3D67}" name="Due Date"/>
    <tableColumn id="8" xr3:uid="{80A05191-2CD8-43E8-AA66-13F24FE8449B}" name="Follow Up Date"/>
    <tableColumn id="9" xr3:uid="{37E247FD-B684-4800-8583-887752A11A35}" name="Notes"/>
    <tableColumn id="10" xr3:uid="{958E7A7F-C166-479A-B2D3-226552B8CC6E}" name="Date Cleared"/>
    <tableColumn id="11" xr3:uid="{D5FCE39C-0E54-48CA-BEF8-4C1369B31F71}" name="Days Open" dataDxfId="3">
      <calculatedColumnFormula>IF(tblNeeds[[#This Row],[Status]]="Done",tblNeeds[[#This Row],[Date Cleared]]-tblNeeds[[#This Row],[Due Date]],TODAY()-tblNeeds[[#This Row],[Due Date]])</calculatedColumnFormula>
    </tableColumn>
    <tableColumn id="12" xr3:uid="{F79C6C9A-D55C-4A42-A4AC-F32205ABAF47}" name="Aging Bucket"/>
    <tableColumn id="13" xr3:uid="{CC42DB16-D176-418D-B6FF-4A53E304D45C}" name="Open Flag">
      <calculatedColumnFormula>IF(tblNeeds[[#This Row],[Status]]="Done",0,1)</calculatedColumnFormula>
    </tableColumn>
    <tableColumn id="14" xr3:uid="{D390133B-ABBD-4F77-99FC-EE25565B8E39}" name="Display Text Helper">
      <calculatedColumnFormula>IF(tblNeeds[[#This Row],[Status]]="Done","",
tblNeeds[[#This Row],[Task]] &amp; IF(tblNeeds[[#This Row],[Due Date]]&lt;&gt;""," (Due " &amp; TEXT(tblNeeds[[#This Row],[Due Date]],"m/d") &amp; ")",""))</calculatedColumnFormula>
    </tableColumn>
    <tableColumn id="15" xr3:uid="{C3275743-6D5E-4BE8-8F86-C3EDD9AB067B}" name="Overdue Flag">
      <calculatedColumnFormula>IF(AND(tblNeeds[[#This Row],[Status]]="Open",tblNeeds[[#This Row],[Due Date]]&lt;TODAY()),1,0)</calculatedColumnFormula>
    </tableColumn>
    <tableColumn id="16" xr3:uid="{7617326B-0A25-47BC-AC3C-3F72E87D5FDE}" name="Today Flag">
      <calculatedColumnFormula>IF(tblNeeds[[#This Row],[Follow Up Date]]=TODAY(),1,0)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E0D7CF0-D653-4F80-9903-B02356766677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4ee4a049-3fd1-4216-97b3-eec7fd369e1c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anthony@title.com" TargetMode="External"/><Relationship Id="rId18" Type="http://schemas.openxmlformats.org/officeDocument/2006/relationships/hyperlink" Target="mailto:ty@homes.com" TargetMode="External"/><Relationship Id="rId26" Type="http://schemas.openxmlformats.org/officeDocument/2006/relationships/vmlDrawing" Target="../drawings/vmlDrawing1.vml"/><Relationship Id="rId21" Type="http://schemas.openxmlformats.org/officeDocument/2006/relationships/hyperlink" Target="mailto:maizey@maizeyhomes.com" TargetMode="External"/><Relationship Id="rId34" Type="http://schemas.openxmlformats.org/officeDocument/2006/relationships/ctrlProp" Target="../ctrlProps/ctrlProp8.xml"/><Relationship Id="rId7" Type="http://schemas.openxmlformats.org/officeDocument/2006/relationships/hyperlink" Target="mailto:malmal@mail.com" TargetMode="External"/><Relationship Id="rId12" Type="http://schemas.openxmlformats.org/officeDocument/2006/relationships/hyperlink" Target="mailto:amy@title.com" TargetMode="External"/><Relationship Id="rId17" Type="http://schemas.openxmlformats.org/officeDocument/2006/relationships/hyperlink" Target="mailto:amanda@realtor.com" TargetMode="External"/><Relationship Id="rId25" Type="http://schemas.openxmlformats.org/officeDocument/2006/relationships/drawing" Target="../drawings/drawing1.xml"/><Relationship Id="rId33" Type="http://schemas.openxmlformats.org/officeDocument/2006/relationships/ctrlProp" Target="../ctrlProps/ctrlProp7.xml"/><Relationship Id="rId38" Type="http://schemas.openxmlformats.org/officeDocument/2006/relationships/table" Target="../tables/table1.xml"/><Relationship Id="rId2" Type="http://schemas.openxmlformats.org/officeDocument/2006/relationships/hyperlink" Target="mailto:justin@gmail.com" TargetMode="External"/><Relationship Id="rId16" Type="http://schemas.openxmlformats.org/officeDocument/2006/relationships/hyperlink" Target="mailto:ryan@email.com" TargetMode="External"/><Relationship Id="rId20" Type="http://schemas.openxmlformats.org/officeDocument/2006/relationships/hyperlink" Target="mailto:emma@emmashomes.com" TargetMode="External"/><Relationship Id="rId29" Type="http://schemas.openxmlformats.org/officeDocument/2006/relationships/ctrlProp" Target="../ctrlProps/ctrlProp3.xml"/><Relationship Id="rId1" Type="http://schemas.openxmlformats.org/officeDocument/2006/relationships/hyperlink" Target="mailto:lando@gmail.com" TargetMode="External"/><Relationship Id="rId6" Type="http://schemas.openxmlformats.org/officeDocument/2006/relationships/hyperlink" Target="mailto:meg@email.com" TargetMode="External"/><Relationship Id="rId11" Type="http://schemas.openxmlformats.org/officeDocument/2006/relationships/hyperlink" Target="mailto:Ali@title.com" TargetMode="External"/><Relationship Id="rId24" Type="http://schemas.openxmlformats.org/officeDocument/2006/relationships/hyperlink" Target="mailto:carlos@househusband.com" TargetMode="External"/><Relationship Id="rId32" Type="http://schemas.openxmlformats.org/officeDocument/2006/relationships/ctrlProp" Target="../ctrlProps/ctrlProp6.xml"/><Relationship Id="rId37" Type="http://schemas.openxmlformats.org/officeDocument/2006/relationships/ctrlProp" Target="../ctrlProps/ctrlProp11.xml"/><Relationship Id="rId5" Type="http://schemas.openxmlformats.org/officeDocument/2006/relationships/hyperlink" Target="mailto:sammy@gmail.com" TargetMode="External"/><Relationship Id="rId15" Type="http://schemas.openxmlformats.org/officeDocument/2006/relationships/hyperlink" Target="mailto:Shana@email.com" TargetMode="External"/><Relationship Id="rId23" Type="http://schemas.openxmlformats.org/officeDocument/2006/relationships/hyperlink" Target="mailto:wendy@email.com" TargetMode="External"/><Relationship Id="rId28" Type="http://schemas.openxmlformats.org/officeDocument/2006/relationships/ctrlProp" Target="../ctrlProps/ctrlProp2.xml"/><Relationship Id="rId36" Type="http://schemas.openxmlformats.org/officeDocument/2006/relationships/ctrlProp" Target="../ctrlProps/ctrlProp10.xml"/><Relationship Id="rId10" Type="http://schemas.openxmlformats.org/officeDocument/2006/relationships/hyperlink" Target="mailto:Ali@titlecompany.com" TargetMode="External"/><Relationship Id="rId19" Type="http://schemas.openxmlformats.org/officeDocument/2006/relationships/hyperlink" Target="mailto:Fred@fredshomes.com" TargetMode="External"/><Relationship Id="rId31" Type="http://schemas.openxmlformats.org/officeDocument/2006/relationships/ctrlProp" Target="../ctrlProps/ctrlProp5.xml"/><Relationship Id="rId4" Type="http://schemas.openxmlformats.org/officeDocument/2006/relationships/hyperlink" Target="mailto:booboo@gmail.com" TargetMode="External"/><Relationship Id="rId9" Type="http://schemas.openxmlformats.org/officeDocument/2006/relationships/hyperlink" Target="mailto:katie@email.com" TargetMode="External"/><Relationship Id="rId14" Type="http://schemas.openxmlformats.org/officeDocument/2006/relationships/hyperlink" Target="mailto:Angela@email.com" TargetMode="External"/><Relationship Id="rId22" Type="http://schemas.openxmlformats.org/officeDocument/2006/relationships/hyperlink" Target="mailto:Allen@builderhomes.com" TargetMode="External"/><Relationship Id="rId27" Type="http://schemas.openxmlformats.org/officeDocument/2006/relationships/ctrlProp" Target="../ctrlProps/ctrlProp1.xml"/><Relationship Id="rId30" Type="http://schemas.openxmlformats.org/officeDocument/2006/relationships/ctrlProp" Target="../ctrlProps/ctrlProp4.xml"/><Relationship Id="rId35" Type="http://schemas.openxmlformats.org/officeDocument/2006/relationships/ctrlProp" Target="../ctrlProps/ctrlProp9.xml"/><Relationship Id="rId8" Type="http://schemas.openxmlformats.org/officeDocument/2006/relationships/hyperlink" Target="mailto:herbs@email.com" TargetMode="External"/><Relationship Id="rId3" Type="http://schemas.openxmlformats.org/officeDocument/2006/relationships/hyperlink" Target="mailto:matmalmik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46C63-76BC-403D-A06B-D526830C6B94}">
  <sheetPr codeName="Sheet1"/>
  <dimension ref="B1:AM29"/>
  <sheetViews>
    <sheetView tabSelected="1" zoomScaleNormal="100" workbookViewId="0">
      <pane ySplit="22" topLeftCell="A23" activePane="bottomLeft" state="frozen"/>
      <selection pane="bottomLeft" activeCell="Q11" sqref="Q11"/>
    </sheetView>
  </sheetViews>
  <sheetFormatPr defaultRowHeight="13.5" x14ac:dyDescent="0.25"/>
  <cols>
    <col min="1" max="1" width="2.28515625" style="11" customWidth="1"/>
    <col min="2" max="3" width="18.85546875" style="11" customWidth="1"/>
    <col min="4" max="5" width="18.85546875" style="11" hidden="1" customWidth="1"/>
    <col min="6" max="6" width="18.85546875" style="11" customWidth="1"/>
    <col min="7" max="7" width="26.85546875" style="11" customWidth="1"/>
    <col min="8" max="8" width="11.140625" style="11" customWidth="1"/>
    <col min="9" max="10" width="9" style="11" customWidth="1"/>
    <col min="11" max="11" width="36.5703125" style="14" customWidth="1"/>
    <col min="12" max="13" width="36.5703125" style="14" hidden="1" customWidth="1"/>
    <col min="14" max="14" width="42.140625" style="14" customWidth="1"/>
    <col min="15" max="16" width="36.5703125" style="14" hidden="1" customWidth="1"/>
    <col min="17" max="17" width="39.5703125" style="14" customWidth="1"/>
    <col min="18" max="22" width="36.5703125" style="14" hidden="1" customWidth="1"/>
    <col min="23" max="23" width="36.5703125" style="14" customWidth="1"/>
    <col min="24" max="25" width="14.7109375" style="11" hidden="1" customWidth="1"/>
    <col min="26" max="27" width="21.42578125" style="11" hidden="1" customWidth="1"/>
    <col min="28" max="28" width="19.140625" style="11" hidden="1" customWidth="1"/>
    <col min="29" max="29" width="23.28515625" style="11" hidden="1" customWidth="1"/>
    <col min="30" max="30" width="24.5703125" style="11" hidden="1" customWidth="1"/>
    <col min="31" max="31" width="21.5703125" style="11" hidden="1" customWidth="1"/>
    <col min="32" max="32" width="22.85546875" style="11" hidden="1" customWidth="1"/>
    <col min="33" max="33" width="23.5703125" style="11" hidden="1" customWidth="1"/>
    <col min="34" max="34" width="19.28515625" style="11" hidden="1" customWidth="1"/>
    <col min="35" max="35" width="22" style="11" hidden="1" customWidth="1"/>
    <col min="36" max="36" width="12.85546875" style="11" hidden="1" customWidth="1"/>
    <col min="37" max="37" width="13.5703125" style="11" hidden="1" customWidth="1"/>
    <col min="38" max="38" width="11.5703125" style="11" hidden="1" customWidth="1"/>
    <col min="39" max="39" width="9.140625" style="11" hidden="1" customWidth="1"/>
    <col min="40" max="16384" width="9.140625" style="11"/>
  </cols>
  <sheetData>
    <row r="1" spans="2:39" ht="6.75" customHeight="1" thickBot="1" x14ac:dyDescent="0.3"/>
    <row r="2" spans="2:39" ht="33.75" hidden="1" customHeight="1" thickBot="1" x14ac:dyDescent="0.3"/>
    <row r="3" spans="2:39" ht="19.5" thickBot="1" x14ac:dyDescent="0.35">
      <c r="B3" s="80" t="s">
        <v>0</v>
      </c>
      <c r="C3" s="81"/>
      <c r="D3" s="81"/>
      <c r="E3" s="81"/>
      <c r="F3" s="81"/>
      <c r="G3" s="82"/>
      <c r="H3" s="89" t="s">
        <v>1</v>
      </c>
      <c r="I3" s="89"/>
      <c r="J3" s="89"/>
      <c r="K3" s="83" t="s">
        <v>2</v>
      </c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5"/>
      <c r="AM3" s="11" t="s">
        <v>3</v>
      </c>
    </row>
    <row r="4" spans="2:39" ht="24" customHeight="1" thickBot="1" x14ac:dyDescent="0.3">
      <c r="B4" s="17" t="s">
        <v>4</v>
      </c>
      <c r="C4" s="17" t="s">
        <v>5</v>
      </c>
      <c r="D4" s="17" t="s">
        <v>6</v>
      </c>
      <c r="E4" s="17" t="s">
        <v>6</v>
      </c>
      <c r="F4" s="17" t="s">
        <v>7</v>
      </c>
      <c r="G4" s="18" t="s">
        <v>8</v>
      </c>
      <c r="H4" s="90" t="s">
        <v>9</v>
      </c>
      <c r="I4" s="91"/>
      <c r="J4" s="92"/>
      <c r="K4" s="19" t="s">
        <v>10</v>
      </c>
      <c r="L4" s="20"/>
      <c r="M4" s="20"/>
      <c r="N4" s="21" t="s">
        <v>60</v>
      </c>
      <c r="O4" s="20"/>
      <c r="P4" s="20"/>
      <c r="Q4" s="22" t="s">
        <v>12</v>
      </c>
      <c r="R4" s="20"/>
      <c r="S4" s="20"/>
      <c r="T4" s="20"/>
      <c r="U4" s="20"/>
      <c r="V4" s="20"/>
      <c r="W4" s="21" t="str">
        <f>IF($N$4="","",
_xlfn.XLOOKUP($N$4, tblLoans[Borrower Name], tblLoans[Borrower Email1], ""))</f>
        <v>lando@gmail.com</v>
      </c>
    </row>
    <row r="5" spans="2:39" ht="16.5" customHeight="1" thickBot="1" x14ac:dyDescent="0.3">
      <c r="B5" s="23" t="str" cm="1">
        <f t="array" aca="1" ref="B5:B7" ca="1">IFERROR(
_xlfn.TAKE(
_xlfn.UNIQUE(
_xlfn._xlws.FILTER(
tblNeeds[Borrower Name],
(tblNeeds[Open Flag]=1)*
(tblNeeds[Due Date]&lt;TODAY())
)
),
15
),
"")</f>
        <v>Spencer, Landon</v>
      </c>
      <c r="C5" s="24" t="str" cm="1">
        <f t="array" aca="1" ref="C5" ca="1">IFERROR(
_xlfn.TAKE(
_xlfn.UNIQUE(
_xlfn._xlws.FILTER(
tblNeeds[Borrower Name],
(tblNeeds[Open Flag]=1)*
(tblNeeds[Due Date]=TODAY())
)
),
15
),
"")</f>
        <v>Virgilio, Mallorie</v>
      </c>
      <c r="D5" s="25"/>
      <c r="E5" s="25"/>
      <c r="F5" s="26" t="str" cm="1">
        <f t="array" aca="1" ref="F5:F8" ca="1">IFERROR(
_xlfn.TAKE(
_xlfn.UNIQUE(
_xlfn._xlws.FILTER(
tblLoans[Borrower Name] &amp; " (" &amp; TEXT(tblLoans[Closing Date],"m/d") &amp; ")",
(tblLoans[Closing Date]&gt;=TODAY())*
(tblLoans[Closing Date]&lt;=TODAY()+7)*
(tblLoans[Status]&lt;&gt;"Closed")
)
),
15
),
"")</f>
        <v>Spencer, Landon (7/20)</v>
      </c>
      <c r="G5" s="77" t="str" cm="1">
        <f t="array" aca="1" ref="G5:G7" ca="1">IFERROR(_xlfn.TAKE(_xlfn.UNIQUE(_xlfn._xlws.FILTER(tblLoans[Borrower Name]&amp;" ("&amp;TEXT(tblLoans[Closing Date],"m/d")&amp;")",((tblLoans[ICD Sent]&lt;&gt;"Yes")+(tblLoans[ICD Sent]="Yes")*(tblLoans[ICD Signed]&lt;&gt;"Yes"))*(tblLoans[Closing Date]&gt;=TODAY())*(tblLoans[Closing Date]&lt;=TODAY()+10)*(tblLoans[Status]&lt;&gt;"Closed"))),15),"")</f>
        <v>Dougherty, Justin (7/21)</v>
      </c>
      <c r="H5" s="27"/>
      <c r="I5" s="27"/>
      <c r="J5" s="28"/>
      <c r="K5" s="29" t="s">
        <v>13</v>
      </c>
      <c r="L5" s="30"/>
      <c r="M5" s="30"/>
      <c r="N5" s="31">
        <f>IF($N$4="","",
_xlfn.XLOOKUP($N$4, tblLoans[Borrower Name], tblLoans[Closing Date], ""))</f>
        <v>46223</v>
      </c>
      <c r="O5" s="32"/>
      <c r="P5" s="32"/>
      <c r="Q5" s="33" t="s">
        <v>14</v>
      </c>
      <c r="R5" s="30"/>
      <c r="S5" s="30"/>
      <c r="T5" s="30"/>
      <c r="U5" s="30"/>
      <c r="V5" s="30"/>
      <c r="W5" s="34" t="str">
        <f>IF($N$4="","",
_xlfn.XLOOKUP($N$4, tblLoans[Borrower Name], tblLoans[Borrower Email2], ""))</f>
        <v>booboo@gmail.com</v>
      </c>
      <c r="AM5" s="11" t="str" cm="1">
        <f t="array" aca="1" ref="AM5:AM8" ca="1">IFERROR(
_xlfn.TAKE(
_xlfn._xlws.FILTER(
tblLoans[Borrower Name],
(tblLoans[Closing Date]&gt;=TODAY())*
(tblLoans[Closing Date]&lt;=TODAY()+20)*
(tblLoans[Status]&lt;&gt;"Closed")*
(((tblLoans[ICD Sent]&lt;&gt;"Yes")+(tblLoans[ICD Signed]&lt;&gt;"Yes"))&gt;0)
),
15
),
"")</f>
        <v>Dougherty, Justin</v>
      </c>
    </row>
    <row r="6" spans="2:39" ht="16.5" customHeight="1" x14ac:dyDescent="0.25">
      <c r="B6" s="35" t="str">
        <f ca="1"/>
        <v>Virgilio, Mallorie</v>
      </c>
      <c r="C6" s="25"/>
      <c r="D6" s="25"/>
      <c r="E6" s="25"/>
      <c r="F6" s="36" t="str">
        <f ca="1"/>
        <v>Dougherty, Justin (7/21)</v>
      </c>
      <c r="G6" s="76" t="str">
        <f ca="1"/>
        <v>Virgilio, Mallorie (7/17)</v>
      </c>
      <c r="H6" s="27"/>
      <c r="I6" s="27"/>
      <c r="J6" s="28"/>
      <c r="K6" s="37" t="s">
        <v>15</v>
      </c>
      <c r="L6" s="38"/>
      <c r="M6" s="38"/>
      <c r="N6" s="39" t="str">
        <f>IF($N$4="","",
_xlfn.XLOOKUP($N$4, tblLoans[Borrower Name], tblLoans[Title Contact], ""))</f>
        <v>Ali</v>
      </c>
      <c r="O6" s="40"/>
      <c r="P6" s="40"/>
      <c r="Q6" s="41" t="s">
        <v>16</v>
      </c>
      <c r="R6" s="42"/>
      <c r="S6" s="42"/>
      <c r="T6" s="42"/>
      <c r="U6" s="42"/>
      <c r="V6" s="42"/>
      <c r="W6" s="43" t="str">
        <f>IF($N$4="","",
_xlfn.XLOOKUP($N$4, tblLoans[Borrower Name], tblLoans[Realtor Name], ""))</f>
        <v>Amanda</v>
      </c>
      <c r="AM6" s="11" t="str">
        <f ca="1"/>
        <v>Virgilio, Mallorie</v>
      </c>
    </row>
    <row r="7" spans="2:39" ht="16.5" customHeight="1" thickBot="1" x14ac:dyDescent="0.3">
      <c r="B7" s="35" t="str">
        <f ca="1"/>
        <v>Alford, Shannon</v>
      </c>
      <c r="C7" s="25"/>
      <c r="D7" s="25"/>
      <c r="E7" s="25"/>
      <c r="F7" s="36" t="str">
        <f ca="1"/>
        <v>Virgilio, Mallorie (7/17)</v>
      </c>
      <c r="G7" s="76" t="str">
        <f ca="1"/>
        <v>Daw, Lloyd (7/22)</v>
      </c>
      <c r="H7" s="27"/>
      <c r="I7" s="27"/>
      <c r="J7" s="28"/>
      <c r="K7" s="29" t="s">
        <v>17</v>
      </c>
      <c r="L7" s="46"/>
      <c r="M7" s="46"/>
      <c r="N7" s="47" t="str">
        <f>IF($N$4="","",
_xlfn.XLOOKUP($N$4, tblLoans[Borrower Name], tblLoans[Title Contact Email], ""))</f>
        <v>Ali@title.com</v>
      </c>
      <c r="O7" s="48"/>
      <c r="P7" s="48"/>
      <c r="Q7" s="33" t="s">
        <v>18</v>
      </c>
      <c r="R7" s="49"/>
      <c r="S7" s="49"/>
      <c r="T7" s="49"/>
      <c r="U7" s="49"/>
      <c r="V7" s="49"/>
      <c r="W7" s="50" t="str">
        <f>IF($N$4="","",
_xlfn.XLOOKUP($N$4, tblLoans[Borrower Name], tblLoans[Realtor Email], ""))</f>
        <v>amanda@realtor.com</v>
      </c>
      <c r="AM7" s="11" t="str">
        <f ca="1"/>
        <v>Daw, Lloyd</v>
      </c>
    </row>
    <row r="8" spans="2:39" ht="24" customHeight="1" thickBot="1" x14ac:dyDescent="0.3">
      <c r="B8" s="35"/>
      <c r="C8" s="25"/>
      <c r="D8" s="25"/>
      <c r="E8" s="25"/>
      <c r="F8" s="36" t="str">
        <f ca="1"/>
        <v>Daw, Lloyd (7/22)</v>
      </c>
      <c r="G8" s="76"/>
      <c r="H8" s="51"/>
      <c r="I8" s="51"/>
      <c r="J8" s="51"/>
      <c r="K8" s="79"/>
      <c r="L8" s="52"/>
      <c r="M8" s="52"/>
      <c r="N8" s="53"/>
      <c r="O8" s="54"/>
      <c r="P8" s="54"/>
      <c r="Q8" s="52"/>
      <c r="R8" s="52"/>
      <c r="S8" s="52"/>
      <c r="T8" s="52"/>
      <c r="U8" s="52"/>
      <c r="V8" s="52"/>
      <c r="W8" s="6" t="str">
        <f>_xlfn.LET(
_xlpm.Borrower,$N$4,
_xlpm.Sent,_xlfn.XLOOKUP(_xlpm.Borrower,tblLoans[Borrower Name],tblLoans[ICD Sent],""),
_xlpm.Signed,_xlfn.XLOOKUP(_xlpm.Borrower,tblLoans[Borrower Name],tblLoans[ICD Signed],""),
IF(_xlpm.Sent&lt;&gt;"Yes",
"ICD NOT SENT",
IF(_xlpm.Signed&lt;&gt;"Yes",
"ICD SENT - NOT SIGNED",
"ICD COMPLETE"))
)</f>
        <v>ICD COMPLETE</v>
      </c>
      <c r="AM8" s="11" t="str">
        <f ca="1"/>
        <v>Alford, Shannon</v>
      </c>
    </row>
    <row r="9" spans="2:39" ht="16.5" customHeight="1" thickBot="1" x14ac:dyDescent="0.3">
      <c r="B9" s="35"/>
      <c r="C9" s="25"/>
      <c r="D9" s="25"/>
      <c r="E9" s="25"/>
      <c r="F9" s="36"/>
      <c r="G9" s="76"/>
      <c r="H9" s="91" t="s">
        <v>19</v>
      </c>
      <c r="I9" s="91"/>
      <c r="J9" s="92"/>
      <c r="K9" s="55" t="s">
        <v>20</v>
      </c>
      <c r="L9" s="17" t="s">
        <v>21</v>
      </c>
      <c r="M9" s="17" t="s">
        <v>6</v>
      </c>
      <c r="N9" s="17" t="s">
        <v>22</v>
      </c>
      <c r="O9" s="17" t="s">
        <v>23</v>
      </c>
      <c r="P9" s="17" t="s">
        <v>24</v>
      </c>
      <c r="Q9" s="17" t="s">
        <v>25</v>
      </c>
      <c r="W9" s="17" t="s">
        <v>26</v>
      </c>
    </row>
    <row r="10" spans="2:39" ht="15.75" customHeight="1" x14ac:dyDescent="0.25">
      <c r="B10" s="35"/>
      <c r="C10" s="25"/>
      <c r="D10" s="25"/>
      <c r="E10" s="25"/>
      <c r="F10" s="36"/>
      <c r="G10" s="76"/>
      <c r="H10" s="93"/>
      <c r="I10" s="93"/>
      <c r="J10" s="94"/>
      <c r="K10" s="56" t="str" cm="1">
        <f t="array" ref="K10">IF($N$4="","",
_xlfn._xlws.FILTER(tblNeeds[Display Text Helper],
(tblNeeds[Borrower Name]=$N$4)*
(tblNeeds[Section]="Borrower")*
(tblNeeds[Open Flag]=1),
""))</f>
        <v>paystub from new job (Due 7/18)</v>
      </c>
      <c r="L10" s="57" cm="1">
        <f t="array" ref="L10">IF($N$4="","",
_xlfn._xlws.FILTER(tblNeeds[Need ID],
(tblNeeds[Borrower Name]=$N$4)*
(tblNeeds[Section]="Borrower")*
(tblNeeds[Open Flag]=1),
""))</f>
        <v>94</v>
      </c>
      <c r="M10" s="57"/>
      <c r="N10" s="58" t="str" cm="1">
        <f t="array" ref="N10">IF($N$4="","",
_xlfn._xlws.FILTER(tblNeeds[Display Text Helper],
(tblNeeds[Borrower Name]=$N$4)*
(tblNeeds[Section]="Title")*
(tblNeeds[Open Flag]=1),
""))</f>
        <v>Quit claim deed to be done at closing (Due 7/24)</v>
      </c>
      <c r="O10" s="59" cm="1">
        <f t="array" ref="O10">IF($N$4="","",
_xlfn._xlws.FILTER(tblNeeds[Need ID],
(tblNeeds[Borrower Name]=$N$4)*
(tblNeeds[Section]="Title")*
(tblNeeds[Open Flag]=1),
""))</f>
        <v>11</v>
      </c>
      <c r="P10" s="59" cm="1">
        <f t="array" ref="P10:P11">IF($N$4="","",
_xlfn._xlws.FILTER(tblNeeds[Need ID],
(tblNeeds[Borrower Name]=$N$4)*
(tblNeeds[Section]="Realtor")*
(tblNeeds[Open Flag]=1),
""))</f>
        <v>13</v>
      </c>
      <c r="Q10" s="60" t="str" cm="1">
        <f t="array" ref="Q10:Q11">IF($N$4="","",
_xlfn._xlws.FILTER(tblNeeds[Display Text Helper],
(tblNeeds[Borrower Name]=$N$4)*
(tblNeeds[Section]="Realtor")*
(tblNeeds[Open Flag]=1),
""))</f>
        <v>Addendum to purchase price (Due 7/20)</v>
      </c>
      <c r="W10" s="86" t="str">
        <f>IF($N$4="","",
_xlfn.XLOOKUP($N$4, tblLoans[Borrower Name], tblLoans[File Notes], ""))</f>
        <v>7/15/2026 3:19 PM - new test note_x000D_
_x000D_
4/6/2026 12:55 PM - kid is a menace_x000D_
_x000D_
borrower on vacation week before closing</v>
      </c>
    </row>
    <row r="11" spans="2:39" ht="15" customHeight="1" x14ac:dyDescent="0.25">
      <c r="B11" s="35"/>
      <c r="C11" s="25"/>
      <c r="D11" s="25"/>
      <c r="E11" s="25"/>
      <c r="F11" s="36"/>
      <c r="G11" s="76"/>
      <c r="H11" s="74"/>
      <c r="I11" s="74"/>
      <c r="J11" s="75"/>
      <c r="K11" s="61"/>
      <c r="L11" s="62"/>
      <c r="M11" s="62"/>
      <c r="N11" s="63"/>
      <c r="O11" s="64"/>
      <c r="P11" s="64">
        <v>14</v>
      </c>
      <c r="Q11" s="65" t="str">
        <v>Private road agreement (Due 7/8)</v>
      </c>
      <c r="W11" s="87"/>
    </row>
    <row r="12" spans="2:39" x14ac:dyDescent="0.25">
      <c r="B12" s="35"/>
      <c r="C12" s="25"/>
      <c r="D12" s="25"/>
      <c r="E12" s="25"/>
      <c r="F12" s="36"/>
      <c r="G12" s="76"/>
      <c r="H12" s="27"/>
      <c r="I12" s="27"/>
      <c r="J12" s="28"/>
      <c r="K12" s="61"/>
      <c r="L12" s="62"/>
      <c r="M12" s="62"/>
      <c r="N12" s="63"/>
      <c r="O12" s="64"/>
      <c r="P12" s="64"/>
      <c r="Q12" s="65"/>
      <c r="W12" s="87"/>
    </row>
    <row r="13" spans="2:39" x14ac:dyDescent="0.25">
      <c r="B13" s="35"/>
      <c r="C13" s="25"/>
      <c r="D13" s="25"/>
      <c r="E13" s="25"/>
      <c r="F13" s="36"/>
      <c r="G13" s="76"/>
      <c r="H13" s="27"/>
      <c r="I13" s="27"/>
      <c r="J13" s="28"/>
      <c r="K13" s="61"/>
      <c r="L13" s="62"/>
      <c r="M13" s="62"/>
      <c r="N13" s="63"/>
      <c r="O13" s="64"/>
      <c r="P13" s="64"/>
      <c r="Q13" s="65"/>
      <c r="W13" s="87"/>
    </row>
    <row r="14" spans="2:39" x14ac:dyDescent="0.25">
      <c r="B14" s="35"/>
      <c r="C14" s="25"/>
      <c r="D14" s="25"/>
      <c r="E14" s="25"/>
      <c r="F14" s="36"/>
      <c r="G14" s="76"/>
      <c r="H14" s="27"/>
      <c r="I14" s="27"/>
      <c r="J14" s="28"/>
      <c r="K14" s="61"/>
      <c r="L14" s="62"/>
      <c r="M14" s="62"/>
      <c r="N14" s="63"/>
      <c r="O14" s="64"/>
      <c r="P14" s="64"/>
      <c r="Q14" s="65"/>
      <c r="W14" s="87"/>
    </row>
    <row r="15" spans="2:39" x14ac:dyDescent="0.25">
      <c r="B15" s="35"/>
      <c r="C15" s="25"/>
      <c r="D15" s="25"/>
      <c r="E15" s="25"/>
      <c r="F15" s="36"/>
      <c r="G15" s="76"/>
      <c r="H15" s="27"/>
      <c r="I15" s="27"/>
      <c r="J15" s="28"/>
      <c r="K15" s="61"/>
      <c r="L15" s="62"/>
      <c r="M15" s="62"/>
      <c r="N15" s="63"/>
      <c r="O15" s="64"/>
      <c r="P15" s="64"/>
      <c r="Q15" s="65"/>
      <c r="W15" s="87"/>
    </row>
    <row r="16" spans="2:39" x14ac:dyDescent="0.25">
      <c r="B16" s="35"/>
      <c r="C16" s="25"/>
      <c r="D16" s="25"/>
      <c r="E16" s="25"/>
      <c r="F16" s="36"/>
      <c r="G16" s="76"/>
      <c r="H16" s="27"/>
      <c r="I16" s="27"/>
      <c r="J16" s="28"/>
      <c r="K16" s="61"/>
      <c r="L16" s="62"/>
      <c r="M16" s="62"/>
      <c r="N16" s="63"/>
      <c r="O16" s="64"/>
      <c r="P16" s="64"/>
      <c r="Q16" s="65"/>
      <c r="W16" s="87"/>
    </row>
    <row r="17" spans="2:38" x14ac:dyDescent="0.25">
      <c r="B17" s="35"/>
      <c r="C17" s="25"/>
      <c r="D17" s="25"/>
      <c r="E17" s="25"/>
      <c r="F17" s="36"/>
      <c r="G17" s="76"/>
      <c r="H17" s="27"/>
      <c r="I17" s="27"/>
      <c r="J17" s="28"/>
      <c r="K17" s="61"/>
      <c r="L17" s="62"/>
      <c r="M17" s="62"/>
      <c r="N17" s="63"/>
      <c r="O17" s="64"/>
      <c r="P17" s="64"/>
      <c r="Q17" s="65"/>
      <c r="W17" s="87"/>
    </row>
    <row r="18" spans="2:38" x14ac:dyDescent="0.25">
      <c r="B18" s="35"/>
      <c r="C18" s="25"/>
      <c r="D18" s="25"/>
      <c r="E18" s="25"/>
      <c r="F18" s="36"/>
      <c r="G18" s="76"/>
      <c r="H18" s="27"/>
      <c r="I18" s="27"/>
      <c r="J18" s="28"/>
      <c r="K18" s="61"/>
      <c r="L18" s="62"/>
      <c r="M18" s="62"/>
      <c r="N18" s="63"/>
      <c r="O18" s="64"/>
      <c r="P18" s="64"/>
      <c r="Q18" s="65"/>
      <c r="W18" s="87"/>
    </row>
    <row r="19" spans="2:38" x14ac:dyDescent="0.25">
      <c r="B19" s="35"/>
      <c r="C19" s="25"/>
      <c r="D19" s="25"/>
      <c r="E19" s="25"/>
      <c r="F19" s="36"/>
      <c r="G19" s="76"/>
      <c r="H19" s="27"/>
      <c r="I19" s="27"/>
      <c r="J19" s="28"/>
      <c r="K19" s="61"/>
      <c r="L19" s="62"/>
      <c r="M19" s="62"/>
      <c r="N19" s="63"/>
      <c r="O19" s="64"/>
      <c r="P19" s="64"/>
      <c r="Q19" s="65"/>
      <c r="W19" s="87"/>
    </row>
    <row r="20" spans="2:38" ht="14.25" thickBot="1" x14ac:dyDescent="0.3">
      <c r="B20" s="66"/>
      <c r="C20" s="67"/>
      <c r="D20" s="25"/>
      <c r="E20" s="25"/>
      <c r="F20" s="68"/>
      <c r="G20" s="78"/>
      <c r="H20" s="44"/>
      <c r="I20" s="44"/>
      <c r="J20" s="45"/>
      <c r="K20" s="69"/>
      <c r="L20" s="70"/>
      <c r="M20" s="70"/>
      <c r="N20" s="71"/>
      <c r="O20" s="72"/>
      <c r="P20" s="72"/>
      <c r="Q20" s="73"/>
      <c r="W20" s="88"/>
    </row>
    <row r="21" spans="2:38" ht="12" customHeight="1" x14ac:dyDescent="0.25"/>
    <row r="22" spans="2:38" s="10" customFormat="1" ht="27" x14ac:dyDescent="0.25">
      <c r="B22" s="7" t="s">
        <v>27</v>
      </c>
      <c r="C22" s="7" t="s">
        <v>28</v>
      </c>
      <c r="D22" s="7" t="s">
        <v>29</v>
      </c>
      <c r="E22" s="7" t="s">
        <v>30</v>
      </c>
      <c r="F22" s="7" t="s">
        <v>31</v>
      </c>
      <c r="G22" s="7" t="s">
        <v>32</v>
      </c>
      <c r="H22" s="8" t="s">
        <v>13</v>
      </c>
      <c r="I22" s="8" t="s">
        <v>33</v>
      </c>
      <c r="J22" s="8" t="s">
        <v>34</v>
      </c>
      <c r="K22" s="8" t="s">
        <v>35</v>
      </c>
      <c r="L22" s="8" t="s">
        <v>36</v>
      </c>
      <c r="M22" s="8" t="s">
        <v>37</v>
      </c>
      <c r="N22" s="8" t="s">
        <v>38</v>
      </c>
      <c r="O22" s="8" t="s">
        <v>16</v>
      </c>
      <c r="P22" s="8" t="s">
        <v>18</v>
      </c>
      <c r="Q22" s="8" t="s">
        <v>39</v>
      </c>
      <c r="R22" s="8" t="s">
        <v>40</v>
      </c>
      <c r="S22" s="8" t="s">
        <v>41</v>
      </c>
      <c r="T22" s="8" t="s">
        <v>42</v>
      </c>
      <c r="U22" s="8" t="s">
        <v>43</v>
      </c>
      <c r="V22" s="8" t="s">
        <v>44</v>
      </c>
      <c r="W22" s="8" t="s">
        <v>26</v>
      </c>
      <c r="X22" s="7" t="s">
        <v>45</v>
      </c>
      <c r="Y22" s="7" t="s">
        <v>46</v>
      </c>
      <c r="Z22" s="9" t="s">
        <v>47</v>
      </c>
      <c r="AA22" s="9" t="s">
        <v>48</v>
      </c>
      <c r="AB22" s="9" t="s">
        <v>49</v>
      </c>
      <c r="AC22" s="9" t="s">
        <v>50</v>
      </c>
      <c r="AD22" s="9" t="s">
        <v>51</v>
      </c>
      <c r="AE22" s="9" t="s">
        <v>52</v>
      </c>
      <c r="AF22" s="9" t="s">
        <v>53</v>
      </c>
      <c r="AG22" s="9" t="s">
        <v>54</v>
      </c>
      <c r="AH22" s="9" t="s">
        <v>55</v>
      </c>
      <c r="AI22" s="9" t="s">
        <v>56</v>
      </c>
      <c r="AJ22" s="9" t="s">
        <v>57</v>
      </c>
      <c r="AK22" s="9" t="s">
        <v>58</v>
      </c>
      <c r="AL22" s="9" t="s">
        <v>59</v>
      </c>
    </row>
    <row r="23" spans="2:38" ht="67.5" x14ac:dyDescent="0.25">
      <c r="B23" s="11">
        <v>987654321</v>
      </c>
      <c r="C23" s="11" t="s">
        <v>60</v>
      </c>
      <c r="D23" s="12" t="s">
        <v>61</v>
      </c>
      <c r="E23" s="12" t="s">
        <v>62</v>
      </c>
      <c r="F23" s="11" t="s">
        <v>63</v>
      </c>
      <c r="G23" s="11" t="s">
        <v>64</v>
      </c>
      <c r="H23" s="13">
        <v>46223</v>
      </c>
      <c r="I23" s="13" t="s">
        <v>65</v>
      </c>
      <c r="J23" s="13" t="s">
        <v>65</v>
      </c>
      <c r="K23" s="14" t="str" cm="1">
        <f t="array" ref="K23">IFERROR("• "&amp;_xlfn.TEXTJOIN(CHAR(10)&amp;"• ",TRUE,
_xlfn._xlws.FILTER(tblNeeds[Display Text Helper],
(tblNeeds[Loan Number]=tblLoans[[#This Row],[Loan Number]])*
(tblNeeds[Section]="Borrower")*
(tblNeeds[Open Flag]=1)
)),"")</f>
        <v>• paystub from new job (Due 7/18)</v>
      </c>
      <c r="L23" s="15" t="s">
        <v>66</v>
      </c>
      <c r="M23" s="15" t="s">
        <v>67</v>
      </c>
      <c r="N23" s="14" t="str" cm="1">
        <f t="array" ref="N23">IFERROR("• "&amp;_xlfn.TEXTJOIN(CHAR(10)&amp;"• ",TRUE,
_xlfn._xlws.FILTER(tblNeeds[Display Text Helper],
(tblNeeds[Loan Number]=tblLoans[[#This Row],[Loan Number]])*
(tblNeeds[Section]="Title")*
(tblNeeds[Open Flag]=1)
)),"")</f>
        <v>• Quit claim deed to be done at closing (Due 7/24)</v>
      </c>
      <c r="O23" s="14" t="s">
        <v>68</v>
      </c>
      <c r="P23" s="16" t="s">
        <v>69</v>
      </c>
      <c r="Q23" s="14" t="str" cm="1">
        <f t="array" ref="Q23">IFERROR("• "&amp;_xlfn.TEXTJOIN(CHAR(10)&amp;"• ",TRUE,
_xlfn._xlws.FILTER(tblNeeds[Display Text Helper],
(tblNeeds[Loan Number]=tblLoans[[#This Row],[Loan Number]])*
(tblNeeds[Section]="Realtor")*
(tblNeeds[Open Flag]=1)
)),"")</f>
        <v>• Addendum to purchase price (Due 7/20)
• Private road agreement (Due 7/8)</v>
      </c>
      <c r="R23" s="14">
        <f>COUNTIFS(tblNeeds[Loan Number],tblLoans[[#This Row],[Loan Number]],
tblNeeds[Section],"Borrower",
tblNeeds[Open Flag],1)</f>
        <v>1</v>
      </c>
      <c r="S23" s="14">
        <f>COUNTIFS(tblNeeds[Loan Number],tblLoans[[#This Row],[Loan Number]],
tblNeeds[Section],"Title",
tblNeeds[Open Flag],1)</f>
        <v>1</v>
      </c>
      <c r="T23" s="14">
        <f>COUNTIFS(tblNeeds[Loan Number],tblLoans[[#This Row],[Loan Number]],
tblNeeds[Section],"Realtor",
tblNeeds[Open Flag],1)</f>
        <v>2</v>
      </c>
      <c r="U23" s="14">
        <f>COUNTIFS(tblNeeds[Loan Number],tblLoans[[#This Row],[Loan Number]],
tblNeeds[Open Flag],1)</f>
        <v>4</v>
      </c>
      <c r="V23" s="14" t="str">
        <f ca="1">IF(AND(tblLoans[[#This Row],[Closing Date]]&gt;=TODAY(),tblLoans[[#This Row],[Closing Date]]&lt;=TODAY()+3,tblLoans[[#This Row],[Total Open Conditions]]&gt;0),"URGENT",
IF(tblLoans[[#This Row],[Total Open Conditions]]&gt;0,"ACTIVE","CLEAR"))</f>
        <v>ACTIVE</v>
      </c>
      <c r="W23" s="14" t="s">
        <v>189</v>
      </c>
      <c r="X23" s="13">
        <v>46218</v>
      </c>
      <c r="Y23" s="13">
        <v>46218</v>
      </c>
      <c r="AA23" s="13">
        <v>46114</v>
      </c>
      <c r="AB23" s="11">
        <f ca="1">tblLoans[[#This Row],[Closing Date]]-TODAY()</f>
        <v>5</v>
      </c>
    </row>
    <row r="24" spans="2:38" ht="48.75" customHeight="1" x14ac:dyDescent="0.25">
      <c r="B24" s="11">
        <v>9741547864</v>
      </c>
      <c r="C24" s="11" t="s">
        <v>70</v>
      </c>
      <c r="D24" s="12" t="s">
        <v>71</v>
      </c>
      <c r="E24" s="12" t="s">
        <v>72</v>
      </c>
      <c r="F24" s="11" t="s">
        <v>73</v>
      </c>
      <c r="G24" s="11" t="s">
        <v>64</v>
      </c>
      <c r="H24" s="13">
        <v>46224</v>
      </c>
      <c r="I24" s="13" t="s">
        <v>65</v>
      </c>
      <c r="J24" s="13" t="s">
        <v>83</v>
      </c>
      <c r="K24" s="14" t="str" cm="1">
        <f t="array" ref="K24">IFERROR("• "&amp;_xlfn.TEXTJOIN(CHAR(10)&amp;"• ",TRUE,
_xlfn._xlws.FILTER(tblNeeds[Display Text Helper],
(tblNeeds[Loan Number]=tblLoans[[#This Row],[Loan Number]])*
(tblNeeds[Section]="Borrower")*
(tblNeeds[Open Flag]=1)
)),"")</f>
        <v>• Missing page 4 of bank statement (Due 7/24)</v>
      </c>
      <c r="L24" s="14" t="s">
        <v>74</v>
      </c>
      <c r="M24" s="15" t="s">
        <v>75</v>
      </c>
      <c r="N24" s="14" t="str" cm="1">
        <f t="array" ref="N24">IFERROR("• "&amp;_xlfn.TEXTJOIN(CHAR(10)&amp;"• ",TRUE,
_xlfn._xlws.FILTER(tblNeeds[Display Text Helper],
(tblNeeds[Loan Number]=tblLoans[[#This Row],[Loan Number]])*
(tblNeeds[Section]="Title")*
(tblNeeds[Open Flag]=1)
)),"")</f>
        <v>• Title Binder (Due 7/27)
• Wiring Instructions (Due 7/27)</v>
      </c>
      <c r="O24" s="14" t="s">
        <v>76</v>
      </c>
      <c r="P24" s="16" t="s">
        <v>77</v>
      </c>
      <c r="Q24" s="14" t="str" cm="1">
        <f t="array" ref="Q24">IFERROR("• "&amp;_xlfn.TEXTJOIN(CHAR(10)&amp;"• ",TRUE,
_xlfn._xlws.FILTER(tblNeeds[Display Text Helper],
(tblNeeds[Loan Number]=tblLoans[[#This Row],[Loan Number]])*
(tblNeeds[Section]="Realtor")*
(tblNeeds[Open Flag]=1)
)),"")</f>
        <v>• Addendum Adding Samantha to contract (Due 7/25)</v>
      </c>
      <c r="R24" s="14">
        <f>COUNTIFS(tblNeeds[Loan Number],tblLoans[[#This Row],[Loan Number]],
tblNeeds[Section],"Borrower",
tblNeeds[Open Flag],1)</f>
        <v>1</v>
      </c>
      <c r="S24" s="14">
        <f>COUNTIFS(tblNeeds[Loan Number],tblLoans[[#This Row],[Loan Number]],
tblNeeds[Section],"Title",
tblNeeds[Open Flag],1)</f>
        <v>2</v>
      </c>
      <c r="T24" s="14">
        <f>COUNTIFS(tblNeeds[Loan Number],tblLoans[[#This Row],[Loan Number]],
tblNeeds[Section],"Realtor",
tblNeeds[Open Flag],1)</f>
        <v>1</v>
      </c>
      <c r="U24" s="14">
        <f>COUNTIFS(tblNeeds[Loan Number],tblLoans[[#This Row],[Loan Number]],
tblNeeds[Open Flag],1)</f>
        <v>4</v>
      </c>
      <c r="V24" s="14" t="str">
        <f ca="1">IF(AND(tblLoans[[#This Row],[Closing Date]]&gt;=TODAY(),tblLoans[[#This Row],[Closing Date]]&lt;=TODAY()+3,tblLoans[[#This Row],[Total Open Conditions]]&gt;0),"URGENT",
IF(tblLoans[[#This Row],[Total Open Conditions]]&gt;0,"ACTIVE","CLEAR"))</f>
        <v>ACTIVE</v>
      </c>
      <c r="W24" s="14" t="s">
        <v>78</v>
      </c>
      <c r="X24" s="13">
        <v>46183</v>
      </c>
      <c r="Y24" s="13"/>
      <c r="AA24" s="13">
        <v>46114</v>
      </c>
      <c r="AB24" s="11">
        <f ca="1">tblLoans[[#This Row],[Closing Date]]-TODAY()</f>
        <v>6</v>
      </c>
    </row>
    <row r="25" spans="2:38" ht="135" x14ac:dyDescent="0.25">
      <c r="B25" s="11">
        <v>4687641351</v>
      </c>
      <c r="C25" s="11" t="s">
        <v>79</v>
      </c>
      <c r="D25" s="12" t="s">
        <v>80</v>
      </c>
      <c r="E25" s="12" t="s">
        <v>81</v>
      </c>
      <c r="F25" s="11" t="s">
        <v>82</v>
      </c>
      <c r="G25" s="11" t="s">
        <v>64</v>
      </c>
      <c r="H25" s="13">
        <v>46241</v>
      </c>
      <c r="I25" s="13" t="s">
        <v>65</v>
      </c>
      <c r="J25" s="13" t="s">
        <v>65</v>
      </c>
      <c r="K25" s="14" t="str" cm="1">
        <f t="array" ref="K25">IFERROR("• "&amp;_xlfn.TEXTJOIN(CHAR(10)&amp;"• ",TRUE,
_xlfn._xlws.FILTER(tblNeeds[Display Text Helper],
(tblNeeds[Loan Number]=tblLoans[[#This Row],[Loan Number]])*
(tblNeeds[Section]="Borrower")*
(tblNeeds[Open Flag]=1)
)),"")</f>
        <v>• paystub (Due 7/31)</v>
      </c>
      <c r="L25" s="14" t="s">
        <v>84</v>
      </c>
      <c r="M25" s="15" t="s">
        <v>85</v>
      </c>
      <c r="N25" s="14" t="str" cm="1">
        <f t="array" ref="N25">IFERROR("• "&amp;_xlfn.TEXTJOIN(CHAR(10)&amp;"• ",TRUE,
_xlfn._xlws.FILTER(tblNeeds[Display Text Helper],
(tblNeeds[Loan Number]=tblLoans[[#This Row],[Loan Number]])*
(tblNeeds[Section]="Title")*
(tblNeeds[Open Flag]=1)
)),"")</f>
        <v>• Title Binder (Due 8/3)</v>
      </c>
      <c r="O25" s="14" t="s">
        <v>86</v>
      </c>
      <c r="P25" s="16" t="s">
        <v>87</v>
      </c>
      <c r="Q25" s="14" t="str" cm="1">
        <f t="array" ref="Q25">IFERROR("• "&amp;_xlfn.TEXTJOIN(CHAR(10)&amp;"• ",TRUE,
_xlfn._xlws.FILTER(tblNeeds[Display Text Helper],
(tblNeeds[Loan Number]=tblLoans[[#This Row],[Loan Number]])*
(tblNeeds[Section]="Realtor")*
(tblNeeds[Open Flag]=1)
)),"")</f>
        <v>• Sellers disclosures to be provided (Due 8/1)</v>
      </c>
      <c r="R25" s="14">
        <f>COUNTIFS(tblNeeds[Loan Number],tblLoans[[#This Row],[Loan Number]],
tblNeeds[Section],"Borrower",
tblNeeds[Open Flag],1)</f>
        <v>1</v>
      </c>
      <c r="S25" s="14">
        <f>COUNTIFS(tblNeeds[Loan Number],tblLoans[[#This Row],[Loan Number]],
tblNeeds[Section],"Title",
tblNeeds[Open Flag],1)</f>
        <v>1</v>
      </c>
      <c r="T25" s="14">
        <f>COUNTIFS(tblNeeds[Loan Number],tblLoans[[#This Row],[Loan Number]],
tblNeeds[Section],"Realtor",
tblNeeds[Open Flag],1)</f>
        <v>1</v>
      </c>
      <c r="U25" s="14">
        <f>COUNTIFS(tblNeeds[Loan Number],tblLoans[[#This Row],[Loan Number]],
tblNeeds[Open Flag],1)</f>
        <v>3</v>
      </c>
      <c r="V25" s="14" t="str">
        <f ca="1">IF(AND(tblLoans[[#This Row],[Closing Date]]&gt;=TODAY(),tblLoans[[#This Row],[Closing Date]]&lt;=TODAY()+3,tblLoans[[#This Row],[Total Open Conditions]]&gt;0),"URGENT",
IF(tblLoans[[#This Row],[Total Open Conditions]]&gt;0,"ACTIVE","CLEAR"))</f>
        <v>ACTIVE</v>
      </c>
      <c r="W25" s="14" t="s">
        <v>88</v>
      </c>
      <c r="X25" s="13">
        <v>46183</v>
      </c>
      <c r="Y25" s="13">
        <v>46118</v>
      </c>
      <c r="AA25" s="13">
        <v>46115</v>
      </c>
      <c r="AB25" s="11">
        <f ca="1">tblLoans[[#This Row],[Closing Date]]-TODAY()</f>
        <v>23</v>
      </c>
    </row>
    <row r="26" spans="2:38" ht="175.5" x14ac:dyDescent="0.25">
      <c r="B26" s="11">
        <v>5468464</v>
      </c>
      <c r="C26" s="11" t="s">
        <v>89</v>
      </c>
      <c r="D26" s="12" t="s">
        <v>90</v>
      </c>
      <c r="F26" s="11" t="s">
        <v>91</v>
      </c>
      <c r="G26" s="11" t="s">
        <v>64</v>
      </c>
      <c r="H26" s="13">
        <v>46220</v>
      </c>
      <c r="I26" s="13" t="s">
        <v>65</v>
      </c>
      <c r="J26" s="13" t="s">
        <v>83</v>
      </c>
      <c r="K26" s="14" t="str" cm="1">
        <f t="array" ref="K26">IFERROR("• "&amp;_xlfn.TEXTJOIN(CHAR(10)&amp;"• ",TRUE,
_xlfn._xlws.FILTER(tblNeeds[Display Text Helper],
(tblNeeds[Loan Number]=tblLoans[[#This Row],[Loan Number]])*
(tblNeeds[Section]="Borrower")*
(tblNeeds[Open Flag]=1)
)),"")</f>
        <v>• Most recent 2 paystubs (Due 7/16)
• 2 months bank statements (Due 7/16)
• 401K statements (Due 7/16)
• Divorce Decree (Due 7/16)</v>
      </c>
      <c r="L26" s="14" t="s">
        <v>92</v>
      </c>
      <c r="M26" s="15" t="s">
        <v>93</v>
      </c>
      <c r="N26" s="14" t="str" cm="1">
        <f t="array" ref="N26">IFERROR("• "&amp;_xlfn.TEXTJOIN(CHAR(10)&amp;"• ",TRUE,
_xlfn._xlws.FILTER(tblNeeds[Display Text Helper],
(tblNeeds[Loan Number]=tblLoans[[#This Row],[Loan Number]])*
(tblNeeds[Section]="Title")*
(tblNeeds[Open Flag]=1)
)),"")</f>
        <v>• Title Binder (Due 7/9)</v>
      </c>
      <c r="O26" s="14" t="s">
        <v>94</v>
      </c>
      <c r="P26" s="16" t="s">
        <v>95</v>
      </c>
      <c r="Q26" s="14" t="str" cm="1">
        <f t="array" ref="Q26">IFERROR("• "&amp;_xlfn.TEXTJOIN(CHAR(10)&amp;"• ",TRUE,
_xlfn._xlws.FILTER(tblNeeds[Display Text Helper],
(tblNeeds[Loan Number]=tblLoans[[#This Row],[Loan Number]])*
(tblNeeds[Section]="Realtor")*
(tblNeeds[Open Flag]=1)
)),"")</f>
        <v>• Copy of signed contract (Due 7/15)
• HOA information and fees (Due 7/15)</v>
      </c>
      <c r="R26" s="14">
        <f>COUNTIFS(tblNeeds[Loan Number],tblLoans[[#This Row],[Loan Number]],
tblNeeds[Section],"Borrower",
tblNeeds[Open Flag],1)</f>
        <v>4</v>
      </c>
      <c r="S26" s="14">
        <f>COUNTIFS(tblNeeds[Loan Number],tblLoans[[#This Row],[Loan Number]],
tblNeeds[Section],"Title",
tblNeeds[Open Flag],1)</f>
        <v>1</v>
      </c>
      <c r="T26" s="14">
        <f>COUNTIFS(tblNeeds[Loan Number],tblLoans[[#This Row],[Loan Number]],
tblNeeds[Section],"Realtor",
tblNeeds[Open Flag],1)</f>
        <v>2</v>
      </c>
      <c r="U26" s="14">
        <f>COUNTIFS(tblNeeds[Loan Number],tblLoans[[#This Row],[Loan Number]],
tblNeeds[Open Flag],1)</f>
        <v>7</v>
      </c>
      <c r="V26" s="14" t="str">
        <f ca="1">IF(AND(tblLoans[[#This Row],[Closing Date]]&gt;=TODAY(),tblLoans[[#This Row],[Closing Date]]&lt;=TODAY()+3,tblLoans[[#This Row],[Total Open Conditions]]&gt;0),"URGENT",
IF(tblLoans[[#This Row],[Total Open Conditions]]&gt;0,"ACTIVE","CLEAR"))</f>
        <v>URGENT</v>
      </c>
      <c r="W26" s="14" t="s">
        <v>96</v>
      </c>
      <c r="X26" s="13">
        <v>46125</v>
      </c>
      <c r="Y26" s="13">
        <v>46115</v>
      </c>
      <c r="AA26" s="13">
        <v>46115</v>
      </c>
      <c r="AB26" s="11">
        <f ca="1">tblLoans[[#This Row],[Closing Date]]-TODAY()</f>
        <v>2</v>
      </c>
    </row>
    <row r="27" spans="2:38" ht="67.5" x14ac:dyDescent="0.25">
      <c r="B27" s="11">
        <v>1645564</v>
      </c>
      <c r="C27" s="11" t="s">
        <v>11</v>
      </c>
      <c r="D27" s="12" t="s">
        <v>97</v>
      </c>
      <c r="E27" s="12" t="s">
        <v>98</v>
      </c>
      <c r="F27" s="11" t="s">
        <v>82</v>
      </c>
      <c r="G27" s="11" t="s">
        <v>64</v>
      </c>
      <c r="H27" s="13">
        <v>46225</v>
      </c>
      <c r="I27" s="13" t="s">
        <v>83</v>
      </c>
      <c r="J27" s="13" t="s">
        <v>83</v>
      </c>
      <c r="K27" s="14" t="str" cm="1">
        <f t="array" ref="K27">IFERROR("• "&amp;_xlfn.TEXTJOIN(CHAR(10)&amp;"• ",TRUE,
_xlfn._xlws.FILTER(tblNeeds[Display Text Helper],
(tblNeeds[Loan Number]=tblLoans[[#This Row],[Loan Number]])*
(tblNeeds[Section]="Borrower")*
(tblNeeds[Open Flag]=1)
)),"")</f>
        <v>• Stock statements - 2 months (Due 7/18)</v>
      </c>
      <c r="L27" s="14" t="s">
        <v>99</v>
      </c>
      <c r="M27" s="15" t="s">
        <v>100</v>
      </c>
      <c r="N27" s="14" t="str" cm="1">
        <f t="array" ref="N27">IFERROR("• "&amp;_xlfn.TEXTJOIN(CHAR(10)&amp;"• ",TRUE,
_xlfn._xlws.FILTER(tblNeeds[Display Text Helper],
(tblNeeds[Loan Number]=tblLoans[[#This Row],[Loan Number]])*
(tblNeeds[Section]="Title")*
(tblNeeds[Open Flag]=1)
)),"")</f>
        <v>• Prelim CD (Due 7/18)</v>
      </c>
      <c r="O27" s="14" t="s">
        <v>101</v>
      </c>
      <c r="P27" s="16" t="s">
        <v>102</v>
      </c>
      <c r="Q27" s="14" t="str" cm="1">
        <f t="array" ref="Q27">IFERROR("• "&amp;_xlfn.TEXTJOIN(CHAR(10)&amp;"• ",TRUE,
_xlfn._xlws.FILTER(tblNeeds[Display Text Helper],
(tblNeeds[Loan Number]=tblLoans[[#This Row],[Loan Number]])*
(tblNeeds[Section]="Realtor")*
(tblNeeds[Open Flag]=1)
)),"")</f>
        <v>• Addendum to contract (Due 7/17)</v>
      </c>
      <c r="R27" s="14">
        <f>COUNTIFS(tblNeeds[Loan Number],tblLoans[[#This Row],[Loan Number]],
tblNeeds[Section],"Borrower",
tblNeeds[Open Flag],1)</f>
        <v>1</v>
      </c>
      <c r="S27" s="14">
        <f>COUNTIFS(tblNeeds[Loan Number],tblLoans[[#This Row],[Loan Number]],
tblNeeds[Section],"Title",
tblNeeds[Open Flag],1)</f>
        <v>1</v>
      </c>
      <c r="T27" s="14">
        <f>COUNTIFS(tblNeeds[Loan Number],tblLoans[[#This Row],[Loan Number]],
tblNeeds[Section],"Realtor",
tblNeeds[Open Flag],1)</f>
        <v>1</v>
      </c>
      <c r="U27" s="14">
        <f>COUNTIFS(tblNeeds[Loan Number],tblLoans[[#This Row],[Loan Number]],
tblNeeds[Open Flag],1)</f>
        <v>3</v>
      </c>
      <c r="V27" s="14" t="str">
        <f ca="1">IF(AND(tblLoans[[#This Row],[Closing Date]]&gt;=TODAY(),tblLoans[[#This Row],[Closing Date]]&lt;=TODAY()+3,tblLoans[[#This Row],[Total Open Conditions]]&gt;0),"URGENT",
IF(tblLoans[[#This Row],[Total Open Conditions]]&gt;0,"ACTIVE","CLEAR"))</f>
        <v>ACTIVE</v>
      </c>
      <c r="W27" s="14" t="s">
        <v>103</v>
      </c>
      <c r="X27" s="13">
        <v>46128</v>
      </c>
      <c r="Y27" s="13">
        <v>46118</v>
      </c>
      <c r="AA27" s="13">
        <v>46118</v>
      </c>
      <c r="AB27" s="11">
        <f ca="1">tblLoans[[#This Row],[Closing Date]]-TODAY()</f>
        <v>7</v>
      </c>
    </row>
    <row r="28" spans="2:38" ht="81" x14ac:dyDescent="0.25">
      <c r="B28" s="11">
        <v>456789456</v>
      </c>
      <c r="C28" s="11" t="s">
        <v>104</v>
      </c>
      <c r="D28" s="12" t="s">
        <v>105</v>
      </c>
      <c r="E28" s="12" t="s">
        <v>106</v>
      </c>
      <c r="F28" s="11" t="s">
        <v>107</v>
      </c>
      <c r="G28" s="11" t="s">
        <v>64</v>
      </c>
      <c r="H28" s="13">
        <v>46248</v>
      </c>
      <c r="I28" s="13" t="s">
        <v>83</v>
      </c>
      <c r="J28" s="13" t="s">
        <v>83</v>
      </c>
      <c r="K28" s="14" t="str" cm="1">
        <f t="array" ref="K28">IFERROR("• "&amp;_xlfn.TEXTJOIN(CHAR(10)&amp;"• ",TRUE,
_xlfn._xlws.FILTER(tblNeeds[Display Text Helper],
(tblNeeds[Loan Number]=tblLoans[[#This Row],[Loan Number]])*
(tblNeeds[Section]="Borrower")*
(tblNeeds[Open Flag]=1)
)),"")</f>
        <v>• paystub (Due 8/8)
• page 4 of bank statement (Due 8/8)</v>
      </c>
      <c r="L28" s="14" t="s">
        <v>108</v>
      </c>
      <c r="M28" s="15" t="s">
        <v>109</v>
      </c>
      <c r="N28" s="14" t="str" cm="1">
        <f t="array" ref="N28">IFERROR("• "&amp;_xlfn.TEXTJOIN(CHAR(10)&amp;"• ",TRUE,
_xlfn._xlws.FILTER(tblNeeds[Display Text Helper],
(tblNeeds[Loan Number]=tblLoans[[#This Row],[Loan Number]])*
(tblNeeds[Section]="Title")*
(tblNeeds[Open Flag]=1)
)),"")</f>
        <v>• prelim cd with new fees (Due 8/10)
• Quit Claim Deed (Due 8/14)</v>
      </c>
      <c r="O28" s="14" t="s">
        <v>110</v>
      </c>
      <c r="P28" s="16" t="s">
        <v>111</v>
      </c>
      <c r="Q28" s="14" t="str" cm="1">
        <f t="array" ref="Q28">IFERROR("• "&amp;_xlfn.TEXTJOIN(CHAR(10)&amp;"• ",TRUE,
_xlfn._xlws.FILTER(tblNeeds[Display Text Helper],
(tblNeeds[Loan Number]=tblLoans[[#This Row],[Loan Number]])*
(tblNeeds[Section]="Realtor")*
(tblNeeds[Open Flag]=1)
)),"")</f>
        <v>• Signed contract addendum (Due 8/8)</v>
      </c>
      <c r="R28" s="14">
        <f>COUNTIFS(tblNeeds[Loan Number],tblLoans[[#This Row],[Loan Number]],
tblNeeds[Section],"Borrower",
tblNeeds[Open Flag],1)</f>
        <v>2</v>
      </c>
      <c r="S28" s="14">
        <f>COUNTIFS(tblNeeds[Loan Number],tblLoans[[#This Row],[Loan Number]],
tblNeeds[Section],"Title",
tblNeeds[Open Flag],1)</f>
        <v>2</v>
      </c>
      <c r="T28" s="14">
        <f>COUNTIFS(tblNeeds[Loan Number],tblLoans[[#This Row],[Loan Number]],
tblNeeds[Section],"Realtor",
tblNeeds[Open Flag],1)</f>
        <v>1</v>
      </c>
      <c r="U28" s="14">
        <f>COUNTIFS(tblNeeds[Loan Number],tblLoans[[#This Row],[Loan Number]],
tblNeeds[Open Flag],1)</f>
        <v>5</v>
      </c>
      <c r="V28" s="14" t="str">
        <f ca="1">IF(AND(tblLoans[[#This Row],[Closing Date]]&gt;=TODAY(),tblLoans[[#This Row],[Closing Date]]&lt;=TODAY()+3,tblLoans[[#This Row],[Total Open Conditions]]&gt;0),"URGENT",
IF(tblLoans[[#This Row],[Total Open Conditions]]&gt;0,"ACTIVE","CLEAR"))</f>
        <v>ACTIVE</v>
      </c>
      <c r="W28" s="14" t="s">
        <v>112</v>
      </c>
      <c r="X28" s="13">
        <v>46126</v>
      </c>
      <c r="Y28" s="13">
        <v>46126</v>
      </c>
      <c r="AA28" s="13">
        <v>46119</v>
      </c>
      <c r="AB28" s="11">
        <f ca="1">tblLoans[[#This Row],[Closing Date]]-TODAY()</f>
        <v>30</v>
      </c>
    </row>
    <row r="29" spans="2:38" ht="27" x14ac:dyDescent="0.25">
      <c r="B29" s="11">
        <v>654789321</v>
      </c>
      <c r="C29" s="11" t="s">
        <v>113</v>
      </c>
      <c r="D29" s="12" t="s">
        <v>114</v>
      </c>
      <c r="E29" s="12"/>
      <c r="F29" s="11" t="s">
        <v>82</v>
      </c>
      <c r="G29" s="11" t="s">
        <v>64</v>
      </c>
      <c r="H29" s="13">
        <v>46232</v>
      </c>
      <c r="I29" s="13" t="s">
        <v>83</v>
      </c>
      <c r="J29" s="13" t="s">
        <v>83</v>
      </c>
      <c r="K29" s="14" t="str" cm="1">
        <f t="array" ref="K29">IFERROR("• "&amp;_xlfn.TEXTJOIN(CHAR(10)&amp;"• ",TRUE,
_xlfn._xlws.FILTER(tblNeeds[Display Text Helper],
(tblNeeds[Loan Number]=tblLoans[[#This Row],[Loan Number]])*
(tblNeeds[Section]="Borrower")*
(tblNeeds[Open Flag]=1)
)),"")</f>
        <v>• w2 (Due 7/24)</v>
      </c>
      <c r="L29" s="14" t="s">
        <v>101</v>
      </c>
      <c r="M29" s="15" t="s">
        <v>115</v>
      </c>
      <c r="N29" s="14" t="str" cm="1">
        <f t="array" ref="N29">IFERROR("• "&amp;_xlfn.TEXTJOIN(CHAR(10)&amp;"• ",TRUE,
_xlfn._xlws.FILTER(tblNeeds[Display Text Helper],
(tblNeeds[Loan Number]=tblLoans[[#This Row],[Loan Number]])*
(tblNeeds[Section]="Title")*
(tblNeeds[Open Flag]=1)
)),"")</f>
        <v>• Prelim CD (Due 7/25)
• Title Binder (Due 7/25)</v>
      </c>
      <c r="O29" s="14" t="s">
        <v>116</v>
      </c>
      <c r="P29" s="16" t="s">
        <v>117</v>
      </c>
      <c r="Q29" s="14" t="str" cm="1">
        <f t="array" ref="Q29">IFERROR("• "&amp;_xlfn.TEXTJOIN(CHAR(10)&amp;"• ",TRUE,
_xlfn._xlws.FILTER(tblNeeds[Display Text Helper],
(tblNeeds[Loan Number]=tblLoans[[#This Row],[Loan Number]])*
(tblNeeds[Section]="Realtor")*
(tblNeeds[Open Flag]=1)
)),"")</f>
        <v>• Addendum to contract (Due 7/11)</v>
      </c>
      <c r="R29" s="14">
        <f>COUNTIFS(tblNeeds[Loan Number],tblLoans[[#This Row],[Loan Number]],
tblNeeds[Section],"Borrower",
tblNeeds[Open Flag],1)</f>
        <v>1</v>
      </c>
      <c r="S29" s="14">
        <f>COUNTIFS(tblNeeds[Loan Number],tblLoans[[#This Row],[Loan Number]],
tblNeeds[Section],"Title",
tblNeeds[Open Flag],1)</f>
        <v>2</v>
      </c>
      <c r="T29" s="14">
        <f>COUNTIFS(tblNeeds[Loan Number],tblLoans[[#This Row],[Loan Number]],
tblNeeds[Section],"Realtor",
tblNeeds[Open Flag],1)</f>
        <v>1</v>
      </c>
      <c r="U29" s="14">
        <f>COUNTIFS(tblNeeds[Loan Number],tblLoans[[#This Row],[Loan Number]],
tblNeeds[Open Flag],1)</f>
        <v>4</v>
      </c>
      <c r="V29" s="14" t="str">
        <f ca="1">IF(AND(tblLoans[[#This Row],[Closing Date]]&gt;=TODAY(),tblLoans[[#This Row],[Closing Date]]&lt;=TODAY()+3,tblLoans[[#This Row],[Total Open Conditions]]&gt;0),"URGENT",
IF(tblLoans[[#This Row],[Total Open Conditions]]&gt;0,"ACTIVE","CLEAR"))</f>
        <v>ACTIVE</v>
      </c>
      <c r="W29" s="14" t="s">
        <v>118</v>
      </c>
      <c r="X29" s="13">
        <v>46195</v>
      </c>
      <c r="Y29" s="13"/>
      <c r="AA29" s="13">
        <v>46126</v>
      </c>
      <c r="AB29" s="11">
        <f ca="1">tblLoans[[#This Row],[Closing Date]]-TODAY()</f>
        <v>14</v>
      </c>
    </row>
  </sheetData>
  <mergeCells count="6">
    <mergeCell ref="B3:G3"/>
    <mergeCell ref="K3:W3"/>
    <mergeCell ref="W10:W20"/>
    <mergeCell ref="H3:J3"/>
    <mergeCell ref="H4:J4"/>
    <mergeCell ref="H9:J10"/>
  </mergeCells>
  <phoneticPr fontId="1" type="noConversion"/>
  <conditionalFormatting sqref="W8">
    <cfRule type="cellIs" dxfId="2" priority="1" operator="equal">
      <formula>"ICD COMPLETE"</formula>
    </cfRule>
    <cfRule type="cellIs" dxfId="1" priority="2" operator="equal">
      <formula>"ICD SENT - NOT SIGNED"</formula>
    </cfRule>
    <cfRule type="colorScale" priority="3">
      <colorScale>
        <cfvo type="min"/>
        <cfvo type="max"/>
        <color rgb="FFFF7128"/>
        <color rgb="FFFFEF9C"/>
      </colorScale>
    </cfRule>
    <cfRule type="cellIs" dxfId="0" priority="4" operator="equal">
      <formula>"ICD NOT SENT"</formula>
    </cfRule>
  </conditionalFormatting>
  <dataValidations disablePrompts="1" count="2">
    <dataValidation type="list" allowBlank="1" showInputMessage="1" showErrorMessage="1" sqref="N4:P4" xr:uid="{C6E0214B-A3E7-4492-A500-3132EE48C690}">
      <formula1>_xlfn.ANCHORARRAY(#REF!)</formula1>
    </dataValidation>
    <dataValidation type="list" allowBlank="1" showInputMessage="1" showErrorMessage="1" sqref="G23:G29" xr:uid="{6403058B-0C66-48DB-A771-74289FE36B8F}">
      <formula1>"Processing, Underwriting, Closing, Closed"</formula1>
    </dataValidation>
  </dataValidations>
  <hyperlinks>
    <hyperlink ref="D23" r:id="rId1" xr:uid="{D232BC2E-A2B7-48F9-8EF7-580D3E2341CD}"/>
    <hyperlink ref="D24" r:id="rId2" xr:uid="{5B134E58-166D-49B3-BB36-E8F768DF9503}"/>
    <hyperlink ref="D25" r:id="rId3" xr:uid="{5276D889-B948-4557-A850-B90837146630}"/>
    <hyperlink ref="E23" r:id="rId4" xr:uid="{1744F2A3-22EE-4979-A2DF-D14DAAF56712}"/>
    <hyperlink ref="E24" r:id="rId5" xr:uid="{FB5A9ECC-091C-4AAC-BB0D-2FC09CB74804}"/>
    <hyperlink ref="E25" r:id="rId6" xr:uid="{5425BB86-43DE-47DC-8233-703D1ECC0B9A}"/>
    <hyperlink ref="D26" r:id="rId7" xr:uid="{06E4D39F-E110-4089-9009-3463B9497B6F}"/>
    <hyperlink ref="D27" r:id="rId8" xr:uid="{41CCA503-3F05-4030-AC6A-5DCFBE1898DB}"/>
    <hyperlink ref="D28" r:id="rId9" xr:uid="{3E430AC9-1D16-48A2-A913-13BF24275A8A}"/>
    <hyperlink ref="L23" r:id="rId10" display="Ali@titlecompany.com" xr:uid="{290E51E6-087C-4DFF-B3AA-594548ED5CA3}"/>
    <hyperlink ref="M23" r:id="rId11" xr:uid="{D833BA03-3F3F-4685-985D-6A195FB8EEF3}"/>
    <hyperlink ref="M24" r:id="rId12" xr:uid="{B641EFF3-393C-4C7B-89EC-87CD6F044F6C}"/>
    <hyperlink ref="M25" r:id="rId13" xr:uid="{11934C7D-0BB5-40C0-B33A-3FA45671409C}"/>
    <hyperlink ref="M26" r:id="rId14" xr:uid="{0803ACD0-7D94-49D9-9625-25EF624D66C1}"/>
    <hyperlink ref="M27" r:id="rId15" xr:uid="{9D56150B-84F4-46A1-9831-33399D47B134}"/>
    <hyperlink ref="M28" r:id="rId16" xr:uid="{B92703E7-2C5B-4522-9045-21FDE4ED2AFE}"/>
    <hyperlink ref="P23" r:id="rId17" xr:uid="{1E763C4C-E014-4E53-BA3D-5B7DCCA1C7A6}"/>
    <hyperlink ref="P24" r:id="rId18" xr:uid="{B763C887-3D36-409B-822F-633A37FA3BB3}"/>
    <hyperlink ref="P25" r:id="rId19" xr:uid="{FF02EC7E-26C1-4E37-96C4-6E03B6326385}"/>
    <hyperlink ref="P26" r:id="rId20" xr:uid="{4346DB51-1D9F-4257-B92E-1DEBA6AF485F}"/>
    <hyperlink ref="P27" r:id="rId21" xr:uid="{EE6FC605-CA49-4178-AF89-FD0AC813C5AD}"/>
    <hyperlink ref="P28" r:id="rId22" xr:uid="{045CD363-F33F-4544-A889-D9870B096157}"/>
    <hyperlink ref="E27" r:id="rId23" xr:uid="{B2A8B58E-D390-4641-AFAC-BF663CCAD45E}"/>
    <hyperlink ref="E28" r:id="rId24" xr:uid="{A9275A08-E776-497B-9CAA-7F747AD00C7D}"/>
  </hyperlinks>
  <pageMargins left="0.7" right="0.7" top="0.75" bottom="0.75" header="0.3" footer="0.3"/>
  <drawing r:id="rId25"/>
  <legacyDrawing r:id="rId2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" r:id="rId27" name="Button 51">
              <controlPr defaultSize="0" print="0" autoFill="0" autoPict="0" macro="[0]!SendBorrowerNeedsList_FromDashboard">
                <anchor moveWithCells="1" sizeWithCells="1">
                  <from>
                    <xdr:col>10</xdr:col>
                    <xdr:colOff>123825</xdr:colOff>
                    <xdr:row>7</xdr:row>
                    <xdr:rowOff>76200</xdr:rowOff>
                  </from>
                  <to>
                    <xdr:col>10</xdr:col>
                    <xdr:colOff>2495550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28" name="Button 52">
              <controlPr defaultSize="0" print="0" autoFill="0" autoPict="0" macro="[0]!SendTitleNeedsList_FromDashboard">
                <anchor moveWithCells="1" sizeWithCells="1">
                  <from>
                    <xdr:col>13</xdr:col>
                    <xdr:colOff>104775</xdr:colOff>
                    <xdr:row>7</xdr:row>
                    <xdr:rowOff>76200</xdr:rowOff>
                  </from>
                  <to>
                    <xdr:col>13</xdr:col>
                    <xdr:colOff>2476500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29" name="Button 53">
              <controlPr defaultSize="0" print="0" autoFill="0" autoPict="0" macro="[0]!SendRealtorNeedsList_FromDashboard">
                <anchor moveWithCells="1" sizeWithCells="1">
                  <from>
                    <xdr:col>16</xdr:col>
                    <xdr:colOff>152400</xdr:colOff>
                    <xdr:row>7</xdr:row>
                    <xdr:rowOff>76200</xdr:rowOff>
                  </from>
                  <to>
                    <xdr:col>16</xdr:col>
                    <xdr:colOff>2524125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0" name="Button 54">
              <controlPr defaultSize="0" print="0" autoFill="0" autoPict="0" macro="[0]!ShowAddLoanForm">
                <anchor moveWithCells="1" sizeWithCells="1">
                  <from>
                    <xdr:col>7</xdr:col>
                    <xdr:colOff>152400</xdr:colOff>
                    <xdr:row>3</xdr:row>
                    <xdr:rowOff>390525</xdr:rowOff>
                  </from>
                  <to>
                    <xdr:col>9</xdr:col>
                    <xdr:colOff>447675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1" name="Button 55">
              <controlPr defaultSize="0" print="0" autoFill="0" autoPict="0" macro="[0]!ShowDeleteLoanForm">
                <anchor moveWithCells="1" sizeWithCells="1">
                  <from>
                    <xdr:col>7</xdr:col>
                    <xdr:colOff>152400</xdr:colOff>
                    <xdr:row>5</xdr:row>
                    <xdr:rowOff>95250</xdr:rowOff>
                  </from>
                  <to>
                    <xdr:col>9</xdr:col>
                    <xdr:colOff>447675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2" name="Button 57">
              <controlPr defaultSize="0" print="0" autoFill="0" autoPict="0" macro="[0]!MarkSelectedNeedDone">
                <anchor moveWithCells="1" sizeWithCells="1">
                  <from>
                    <xdr:col>7</xdr:col>
                    <xdr:colOff>47625</xdr:colOff>
                    <xdr:row>9</xdr:row>
                    <xdr:rowOff>171450</xdr:rowOff>
                  </from>
                  <to>
                    <xdr:col>9</xdr:col>
                    <xdr:colOff>542925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3" name="Button 58">
              <controlPr defaultSize="0" print="0" autoFill="0" autoPict="0" macro="[0]!OpenEditNeed_FromDashboard">
                <anchor moveWithCells="1" sizeWithCells="1">
                  <from>
                    <xdr:col>7</xdr:col>
                    <xdr:colOff>57150</xdr:colOff>
                    <xdr:row>11</xdr:row>
                    <xdr:rowOff>76200</xdr:rowOff>
                  </from>
                  <to>
                    <xdr:col>9</xdr:col>
                    <xdr:colOff>552450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4" name="Button 59">
              <controlPr defaultSize="0" print="0" autoFill="0" autoPict="0" macro="[0]!OpenAddNeed_FromDashboard">
                <anchor moveWithCells="1" sizeWithCells="1">
                  <from>
                    <xdr:col>7</xdr:col>
                    <xdr:colOff>76200</xdr:colOff>
                    <xdr:row>13</xdr:row>
                    <xdr:rowOff>28575</xdr:rowOff>
                  </from>
                  <to>
                    <xdr:col>9</xdr:col>
                    <xdr:colOff>571500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35" name="Button 60">
              <controlPr defaultSize="0" print="0" autoFill="0" autoPict="0" macro="[0]!LogLoanNote_FromDashboard">
                <anchor moveWithCells="1" sizeWithCells="1">
                  <from>
                    <xdr:col>7</xdr:col>
                    <xdr:colOff>66675</xdr:colOff>
                    <xdr:row>14</xdr:row>
                    <xdr:rowOff>152400</xdr:rowOff>
                  </from>
                  <to>
                    <xdr:col>9</xdr:col>
                    <xdr:colOff>561975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36" name="Button 61">
              <controlPr defaultSize="0" print="0" autoFill="0" autoPict="0" macro="[0]!MarkICDSent_FromDashboard">
                <anchor moveWithCells="1" sizeWithCells="1">
                  <from>
                    <xdr:col>7</xdr:col>
                    <xdr:colOff>66675</xdr:colOff>
                    <xdr:row>16</xdr:row>
                    <xdr:rowOff>114300</xdr:rowOff>
                  </from>
                  <to>
                    <xdr:col>9</xdr:col>
                    <xdr:colOff>561975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37" name="Button 62">
              <controlPr defaultSize="0" print="0" autoFill="0" autoPict="0" macro="[0]!MarkICDSigned_FromDashboard">
                <anchor moveWithCells="1" sizeWithCells="1">
                  <from>
                    <xdr:col>7</xdr:col>
                    <xdr:colOff>57150</xdr:colOff>
                    <xdr:row>18</xdr:row>
                    <xdr:rowOff>76200</xdr:rowOff>
                  </from>
                  <to>
                    <xdr:col>9</xdr:col>
                    <xdr:colOff>552450</xdr:colOff>
                    <xdr:row>19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38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9AC677D-4A42-46EF-9B36-7BBE2302A127}">
          <x14:formula1>
            <xm:f>Lists!$C$2:$C$3</xm:f>
          </x14:formula1>
          <xm:sqref>I23:J29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A6AE6-4B45-49C3-A595-72C1B5D3F9D8}">
  <sheetPr codeName="Sheet3"/>
  <dimension ref="A1:C14"/>
  <sheetViews>
    <sheetView workbookViewId="0">
      <selection activeCell="C4" sqref="C4"/>
    </sheetView>
  </sheetViews>
  <sheetFormatPr defaultRowHeight="15" x14ac:dyDescent="0.25"/>
  <cols>
    <col min="1" max="1" width="22" customWidth="1"/>
  </cols>
  <sheetData>
    <row r="1" spans="1:3" ht="15.75" x14ac:dyDescent="0.25">
      <c r="A1" s="5" t="s">
        <v>119</v>
      </c>
      <c r="C1" t="s">
        <v>120</v>
      </c>
    </row>
    <row r="2" spans="1:3" ht="15.75" x14ac:dyDescent="0.25">
      <c r="A2" s="3" t="s">
        <v>121</v>
      </c>
      <c r="C2" t="s">
        <v>65</v>
      </c>
    </row>
    <row r="3" spans="1:3" ht="15.75" x14ac:dyDescent="0.25">
      <c r="A3" s="4" t="s">
        <v>107</v>
      </c>
      <c r="C3" t="s">
        <v>83</v>
      </c>
    </row>
    <row r="4" spans="1:3" ht="15.75" x14ac:dyDescent="0.25">
      <c r="A4" s="4" t="s">
        <v>63</v>
      </c>
    </row>
    <row r="5" spans="1:3" ht="15.75" x14ac:dyDescent="0.25">
      <c r="A5" s="4" t="s">
        <v>122</v>
      </c>
    </row>
    <row r="6" spans="1:3" ht="15.75" x14ac:dyDescent="0.25">
      <c r="A6" s="4" t="s">
        <v>123</v>
      </c>
    </row>
    <row r="7" spans="1:3" ht="15.75" x14ac:dyDescent="0.25">
      <c r="A7" s="4" t="s">
        <v>91</v>
      </c>
    </row>
    <row r="8" spans="1:3" ht="15.75" x14ac:dyDescent="0.25">
      <c r="A8" s="4" t="s">
        <v>82</v>
      </c>
    </row>
    <row r="9" spans="1:3" ht="15.75" x14ac:dyDescent="0.25">
      <c r="A9" s="4" t="s">
        <v>124</v>
      </c>
    </row>
    <row r="10" spans="1:3" ht="15.75" x14ac:dyDescent="0.25">
      <c r="A10" s="4" t="s">
        <v>125</v>
      </c>
    </row>
    <row r="11" spans="1:3" ht="15.75" x14ac:dyDescent="0.25">
      <c r="A11" s="4" t="s">
        <v>73</v>
      </c>
    </row>
    <row r="12" spans="1:3" ht="15.75" x14ac:dyDescent="0.25">
      <c r="A12" s="4" t="s">
        <v>126</v>
      </c>
    </row>
    <row r="13" spans="1:3" ht="16.5" x14ac:dyDescent="0.3">
      <c r="A13" s="2"/>
    </row>
    <row r="14" spans="1:3" ht="16.5" x14ac:dyDescent="0.3">
      <c r="A14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846F5-C095-4457-BF5F-7CA9AA8706BE}">
  <sheetPr codeName="Sheet2"/>
  <dimension ref="A1:P57"/>
  <sheetViews>
    <sheetView workbookViewId="0">
      <selection activeCell="F26" sqref="F26"/>
    </sheetView>
  </sheetViews>
  <sheetFormatPr defaultRowHeight="15" x14ac:dyDescent="0.25"/>
  <cols>
    <col min="1" max="1" width="12.85546875" bestFit="1" customWidth="1"/>
    <col min="2" max="2" width="15.140625" customWidth="1"/>
    <col min="3" max="3" width="17" customWidth="1"/>
    <col min="4" max="4" width="16.28515625" customWidth="1"/>
    <col min="5" max="5" width="41" customWidth="1"/>
    <col min="6" max="6" width="14.7109375" bestFit="1" customWidth="1"/>
    <col min="7" max="7" width="11.5703125" customWidth="1"/>
    <col min="8" max="8" width="16.5703125" customWidth="1"/>
    <col min="9" max="9" width="11.5703125" bestFit="1" customWidth="1"/>
    <col min="10" max="10" width="15" customWidth="1"/>
    <col min="11" max="11" width="12.85546875" customWidth="1"/>
    <col min="12" max="12" width="14.5703125" customWidth="1"/>
    <col min="13" max="13" width="12" customWidth="1"/>
    <col min="14" max="14" width="20.7109375" customWidth="1"/>
    <col min="15" max="15" width="14.85546875" customWidth="1"/>
    <col min="16" max="16" width="12.42578125" customWidth="1"/>
  </cols>
  <sheetData>
    <row r="1" spans="1:16" x14ac:dyDescent="0.25">
      <c r="A1" t="s">
        <v>127</v>
      </c>
      <c r="B1" t="s">
        <v>27</v>
      </c>
      <c r="C1" t="s">
        <v>28</v>
      </c>
      <c r="D1" t="s">
        <v>128</v>
      </c>
      <c r="E1" t="s">
        <v>129</v>
      </c>
      <c r="F1" t="s">
        <v>32</v>
      </c>
      <c r="G1" t="s">
        <v>130</v>
      </c>
      <c r="H1" t="s">
        <v>131</v>
      </c>
      <c r="I1" t="s">
        <v>132</v>
      </c>
      <c r="J1" t="s">
        <v>133</v>
      </c>
      <c r="K1" t="s">
        <v>134</v>
      </c>
      <c r="L1" t="s">
        <v>135</v>
      </c>
      <c r="M1" t="s">
        <v>136</v>
      </c>
      <c r="N1" t="s">
        <v>137</v>
      </c>
      <c r="O1" t="s">
        <v>138</v>
      </c>
      <c r="P1" t="s">
        <v>139</v>
      </c>
    </row>
    <row r="2" spans="1:16" x14ac:dyDescent="0.25">
      <c r="A2">
        <v>8</v>
      </c>
      <c r="B2">
        <v>987654321</v>
      </c>
      <c r="C2" t="s">
        <v>60</v>
      </c>
      <c r="D2" t="s">
        <v>140</v>
      </c>
      <c r="E2" t="s">
        <v>141</v>
      </c>
      <c r="F2" t="s">
        <v>144</v>
      </c>
      <c r="G2" s="1">
        <v>46128</v>
      </c>
      <c r="H2" s="1">
        <v>46117</v>
      </c>
      <c r="J2" s="1">
        <v>46164</v>
      </c>
      <c r="K2">
        <f ca="1">IF(tblNeeds[[#This Row],[Status]]="Done",tblNeeds[[#This Row],[Date Cleared]]-tblNeeds[[#This Row],[Due Date]],TODAY()-tblNeeds[[#This Row],[Due Date]])</f>
        <v>36</v>
      </c>
      <c r="M2">
        <f>IF(tblNeeds[[#This Row],[Status]]="Done",0,1)</f>
        <v>0</v>
      </c>
      <c r="N2" t="str">
        <f>IF(tblNeeds[[#This Row],[Status]]="Done","",
tblNeeds[[#This Row],[Task]] &amp; IF(tblNeeds[[#This Row],[Due Date]]&lt;&gt;""," (Due " &amp; TEXT(tblNeeds[[#This Row],[Due Date]],"m/d") &amp; ")",""))</f>
        <v/>
      </c>
      <c r="O2">
        <f ca="1">IF(AND(tblNeeds[[#This Row],[Status]]="Open",tblNeeds[[#This Row],[Due Date]]&lt;TODAY()),1,0)</f>
        <v>0</v>
      </c>
      <c r="P2">
        <f ca="1">IF(tblNeeds[[#This Row],[Follow Up Date]]=TODAY(),1,0)</f>
        <v>0</v>
      </c>
    </row>
    <row r="3" spans="1:16" x14ac:dyDescent="0.25">
      <c r="A3">
        <v>9</v>
      </c>
      <c r="B3">
        <v>987654321</v>
      </c>
      <c r="C3" t="s">
        <v>60</v>
      </c>
      <c r="D3" t="s">
        <v>140</v>
      </c>
      <c r="E3" t="s">
        <v>143</v>
      </c>
      <c r="F3" t="s">
        <v>144</v>
      </c>
      <c r="G3" s="1">
        <v>46116</v>
      </c>
      <c r="H3" s="1">
        <v>46117</v>
      </c>
      <c r="J3" s="1">
        <v>46115</v>
      </c>
      <c r="K3">
        <f ca="1">IF(tblNeeds[[#This Row],[Status]]="Done",tblNeeds[[#This Row],[Date Cleared]]-tblNeeds[[#This Row],[Due Date]],TODAY()-tblNeeds[[#This Row],[Due Date]])</f>
        <v>-1</v>
      </c>
      <c r="M3">
        <f>IF(tblNeeds[[#This Row],[Status]]="Done",0,1)</f>
        <v>0</v>
      </c>
      <c r="N3" t="str">
        <f>IF(tblNeeds[[#This Row],[Status]]="Done","",
tblNeeds[[#This Row],[Task]] &amp; IF(tblNeeds[[#This Row],[Due Date]]&lt;&gt;""," (Due " &amp; TEXT(tblNeeds[[#This Row],[Due Date]],"m/d") &amp; ")",""))</f>
        <v/>
      </c>
      <c r="O3">
        <f ca="1">IF(AND(tblNeeds[[#This Row],[Status]]="Open",tblNeeds[[#This Row],[Due Date]]&lt;TODAY()),1,0)</f>
        <v>0</v>
      </c>
      <c r="P3">
        <f ca="1">IF(tblNeeds[[#This Row],[Follow Up Date]]=TODAY(),1,0)</f>
        <v>0</v>
      </c>
    </row>
    <row r="4" spans="1:16" x14ac:dyDescent="0.25">
      <c r="A4">
        <v>10</v>
      </c>
      <c r="B4">
        <v>987654321</v>
      </c>
      <c r="C4" t="s">
        <v>60</v>
      </c>
      <c r="D4" t="s">
        <v>140</v>
      </c>
      <c r="E4" t="s">
        <v>145</v>
      </c>
      <c r="F4" t="s">
        <v>144</v>
      </c>
      <c r="G4" s="1">
        <v>46116</v>
      </c>
      <c r="H4" s="1">
        <v>46117</v>
      </c>
      <c r="J4" s="1">
        <v>46114</v>
      </c>
      <c r="K4">
        <f ca="1">IF(tblNeeds[[#This Row],[Status]]="Done",tblNeeds[[#This Row],[Date Cleared]]-tblNeeds[[#This Row],[Due Date]],TODAY()-tblNeeds[[#This Row],[Due Date]])</f>
        <v>-2</v>
      </c>
      <c r="M4">
        <f>IF(tblNeeds[[#This Row],[Status]]="Done",0,1)</f>
        <v>0</v>
      </c>
      <c r="N4" t="str">
        <f>IF(tblNeeds[[#This Row],[Status]]="Done","",
tblNeeds[[#This Row],[Task]] &amp; IF(tblNeeds[[#This Row],[Due Date]]&lt;&gt;""," (Due " &amp; TEXT(tblNeeds[[#This Row],[Due Date]],"m/d") &amp; ")",""))</f>
        <v/>
      </c>
      <c r="O4">
        <f ca="1">IF(AND(tblNeeds[[#This Row],[Status]]="Open",tblNeeds[[#This Row],[Due Date]]&lt;TODAY()),1,0)</f>
        <v>0</v>
      </c>
      <c r="P4">
        <f ca="1">IF(tblNeeds[[#This Row],[Follow Up Date]]=TODAY(),1,0)</f>
        <v>0</v>
      </c>
    </row>
    <row r="5" spans="1:16" x14ac:dyDescent="0.25">
      <c r="A5">
        <v>11</v>
      </c>
      <c r="B5">
        <v>987654321</v>
      </c>
      <c r="C5" t="s">
        <v>60</v>
      </c>
      <c r="D5" t="s">
        <v>146</v>
      </c>
      <c r="E5" t="s">
        <v>147</v>
      </c>
      <c r="F5" t="s">
        <v>142</v>
      </c>
      <c r="G5" s="1">
        <v>46227</v>
      </c>
      <c r="H5" s="1">
        <v>46228</v>
      </c>
      <c r="K5">
        <f ca="1">IF(tblNeeds[[#This Row],[Status]]="Done",tblNeeds[[#This Row],[Date Cleared]]-tblNeeds[[#This Row],[Due Date]],TODAY()-tblNeeds[[#This Row],[Due Date]])</f>
        <v>-9</v>
      </c>
      <c r="M5">
        <f>IF(tblNeeds[[#This Row],[Status]]="Done",0,1)</f>
        <v>1</v>
      </c>
      <c r="N5" t="str">
        <f>IF(tblNeeds[[#This Row],[Status]]="Done","",
tblNeeds[[#This Row],[Task]] &amp; IF(tblNeeds[[#This Row],[Due Date]]&lt;&gt;""," (Due " &amp; TEXT(tblNeeds[[#This Row],[Due Date]],"m/d") &amp; ")",""))</f>
        <v>Quit claim deed to be done at closing (Due 7/24)</v>
      </c>
      <c r="O5">
        <f ca="1">IF(AND(tblNeeds[[#This Row],[Status]]="Open",tblNeeds[[#This Row],[Due Date]]&lt;TODAY()),1,0)</f>
        <v>0</v>
      </c>
      <c r="P5">
        <f ca="1">IF(tblNeeds[[#This Row],[Follow Up Date]]=TODAY(),1,0)</f>
        <v>0</v>
      </c>
    </row>
    <row r="6" spans="1:16" x14ac:dyDescent="0.25">
      <c r="A6">
        <v>12</v>
      </c>
      <c r="B6">
        <v>987654321</v>
      </c>
      <c r="C6" t="s">
        <v>60</v>
      </c>
      <c r="D6" t="s">
        <v>146</v>
      </c>
      <c r="E6" t="s">
        <v>148</v>
      </c>
      <c r="F6" t="s">
        <v>144</v>
      </c>
      <c r="G6" s="1">
        <v>46129</v>
      </c>
      <c r="H6" s="1">
        <v>46122</v>
      </c>
      <c r="J6" s="1">
        <v>46164</v>
      </c>
      <c r="K6">
        <f ca="1">IF(tblNeeds[[#This Row],[Status]]="Done",tblNeeds[[#This Row],[Date Cleared]]-tblNeeds[[#This Row],[Due Date]],TODAY()-tblNeeds[[#This Row],[Due Date]])</f>
        <v>35</v>
      </c>
      <c r="M6">
        <f>IF(tblNeeds[[#This Row],[Status]]="Done",0,1)</f>
        <v>0</v>
      </c>
      <c r="N6" t="str">
        <f>IF(tblNeeds[[#This Row],[Status]]="Done","",
tblNeeds[[#This Row],[Task]] &amp; IF(tblNeeds[[#This Row],[Due Date]]&lt;&gt;""," (Due " &amp; TEXT(tblNeeds[[#This Row],[Due Date]],"m/d") &amp; ")",""))</f>
        <v/>
      </c>
      <c r="O6">
        <f ca="1">IF(AND(tblNeeds[[#This Row],[Status]]="Open",tblNeeds[[#This Row],[Due Date]]&lt;TODAY()),1,0)</f>
        <v>0</v>
      </c>
      <c r="P6">
        <f ca="1">IF(tblNeeds[[#This Row],[Follow Up Date]]=TODAY(),1,0)</f>
        <v>0</v>
      </c>
    </row>
    <row r="7" spans="1:16" x14ac:dyDescent="0.25">
      <c r="A7">
        <v>13</v>
      </c>
      <c r="B7">
        <v>987654321</v>
      </c>
      <c r="C7" t="s">
        <v>60</v>
      </c>
      <c r="D7" t="s">
        <v>149</v>
      </c>
      <c r="E7" t="s">
        <v>150</v>
      </c>
      <c r="F7" t="s">
        <v>142</v>
      </c>
      <c r="G7" s="1">
        <v>46223</v>
      </c>
      <c r="H7" s="1">
        <v>46224</v>
      </c>
      <c r="K7">
        <f ca="1">IF(tblNeeds[[#This Row],[Status]]="Done",tblNeeds[[#This Row],[Date Cleared]]-tblNeeds[[#This Row],[Due Date]],TODAY()-tblNeeds[[#This Row],[Due Date]])</f>
        <v>-5</v>
      </c>
      <c r="M7">
        <f>IF(tblNeeds[[#This Row],[Status]]="Done",0,1)</f>
        <v>1</v>
      </c>
      <c r="N7" t="str">
        <f>IF(tblNeeds[[#This Row],[Status]]="Done","",
tblNeeds[[#This Row],[Task]] &amp; IF(tblNeeds[[#This Row],[Due Date]]&lt;&gt;""," (Due " &amp; TEXT(tblNeeds[[#This Row],[Due Date]],"m/d") &amp; ")",""))</f>
        <v>Addendum to purchase price (Due 7/20)</v>
      </c>
      <c r="O7">
        <f ca="1">IF(AND(tblNeeds[[#This Row],[Status]]="Open",tblNeeds[[#This Row],[Due Date]]&lt;TODAY()),1,0)</f>
        <v>0</v>
      </c>
      <c r="P7">
        <f ca="1">IF(tblNeeds[[#This Row],[Follow Up Date]]=TODAY(),1,0)</f>
        <v>0</v>
      </c>
    </row>
    <row r="8" spans="1:16" x14ac:dyDescent="0.25">
      <c r="A8">
        <v>14</v>
      </c>
      <c r="B8">
        <v>987654321</v>
      </c>
      <c r="C8" t="s">
        <v>60</v>
      </c>
      <c r="D8" t="s">
        <v>149</v>
      </c>
      <c r="E8" t="s">
        <v>151</v>
      </c>
      <c r="F8" t="s">
        <v>142</v>
      </c>
      <c r="G8" s="1">
        <v>46211</v>
      </c>
      <c r="H8" s="1">
        <v>46212</v>
      </c>
      <c r="K8">
        <f ca="1">IF(tblNeeds[[#This Row],[Status]]="Done",tblNeeds[[#This Row],[Date Cleared]]-tblNeeds[[#This Row],[Due Date]],TODAY()-tblNeeds[[#This Row],[Due Date]])</f>
        <v>7</v>
      </c>
      <c r="M8">
        <f>IF(tblNeeds[[#This Row],[Status]]="Done",0,1)</f>
        <v>1</v>
      </c>
      <c r="N8" t="str">
        <f>IF(tblNeeds[[#This Row],[Status]]="Done","",
tblNeeds[[#This Row],[Task]] &amp; IF(tblNeeds[[#This Row],[Due Date]]&lt;&gt;""," (Due " &amp; TEXT(tblNeeds[[#This Row],[Due Date]],"m/d") &amp; ")",""))</f>
        <v>Private road agreement (Due 7/8)</v>
      </c>
      <c r="O8">
        <f ca="1">IF(AND(tblNeeds[[#This Row],[Status]]="Open",tblNeeds[[#This Row],[Due Date]]&lt;TODAY()),1,0)</f>
        <v>1</v>
      </c>
      <c r="P8">
        <f ca="1">IF(tblNeeds[[#This Row],[Follow Up Date]]=TODAY(),1,0)</f>
        <v>0</v>
      </c>
    </row>
    <row r="9" spans="1:16" x14ac:dyDescent="0.25">
      <c r="A9">
        <v>15</v>
      </c>
      <c r="B9">
        <v>9741547864</v>
      </c>
      <c r="C9" t="s">
        <v>70</v>
      </c>
      <c r="D9" t="s">
        <v>140</v>
      </c>
      <c r="E9" t="s">
        <v>152</v>
      </c>
      <c r="F9" t="s">
        <v>144</v>
      </c>
      <c r="G9" s="1">
        <v>46116</v>
      </c>
      <c r="H9" s="1">
        <v>46117</v>
      </c>
      <c r="J9" s="1">
        <v>46115</v>
      </c>
      <c r="K9">
        <f ca="1">IF(tblNeeds[[#This Row],[Status]]="Done",tblNeeds[[#This Row],[Date Cleared]]-tblNeeds[[#This Row],[Due Date]],TODAY()-tblNeeds[[#This Row],[Due Date]])</f>
        <v>-1</v>
      </c>
      <c r="M9">
        <f>IF(tblNeeds[[#This Row],[Status]]="Done",0,1)</f>
        <v>0</v>
      </c>
      <c r="N9" t="str">
        <f>IF(tblNeeds[[#This Row],[Status]]="Done","",
tblNeeds[[#This Row],[Task]] &amp; IF(tblNeeds[[#This Row],[Due Date]]&lt;&gt;""," (Due " &amp; TEXT(tblNeeds[[#This Row],[Due Date]],"m/d") &amp; ")",""))</f>
        <v/>
      </c>
      <c r="O9">
        <f ca="1">IF(AND(tblNeeds[[#This Row],[Status]]="Open",tblNeeds[[#This Row],[Due Date]]&lt;TODAY()),1,0)</f>
        <v>0</v>
      </c>
      <c r="P9">
        <f ca="1">IF(tblNeeds[[#This Row],[Follow Up Date]]=TODAY(),1,0)</f>
        <v>0</v>
      </c>
    </row>
    <row r="10" spans="1:16" x14ac:dyDescent="0.25">
      <c r="A10">
        <v>16</v>
      </c>
      <c r="B10">
        <v>9741547864</v>
      </c>
      <c r="C10" t="s">
        <v>70</v>
      </c>
      <c r="D10" t="s">
        <v>140</v>
      </c>
      <c r="E10" t="s">
        <v>153</v>
      </c>
      <c r="F10" t="s">
        <v>144</v>
      </c>
      <c r="G10" s="1">
        <v>46116</v>
      </c>
      <c r="H10" s="1">
        <v>46117</v>
      </c>
      <c r="J10" s="1">
        <v>46115</v>
      </c>
      <c r="K10">
        <f ca="1">IF(tblNeeds[[#This Row],[Status]]="Done",tblNeeds[[#This Row],[Date Cleared]]-tblNeeds[[#This Row],[Due Date]],TODAY()-tblNeeds[[#This Row],[Due Date]])</f>
        <v>-1</v>
      </c>
      <c r="M10">
        <f>IF(tblNeeds[[#This Row],[Status]]="Done",0,1)</f>
        <v>0</v>
      </c>
      <c r="N10" t="str">
        <f>IF(tblNeeds[[#This Row],[Status]]="Done","",
tblNeeds[[#This Row],[Task]] &amp; IF(tblNeeds[[#This Row],[Due Date]]&lt;&gt;""," (Due " &amp; TEXT(tblNeeds[[#This Row],[Due Date]],"m/d") &amp; ")",""))</f>
        <v/>
      </c>
      <c r="O10">
        <f ca="1">IF(AND(tblNeeds[[#This Row],[Status]]="Open",tblNeeds[[#This Row],[Due Date]]&lt;TODAY()),1,0)</f>
        <v>0</v>
      </c>
      <c r="P10">
        <f ca="1">IF(tblNeeds[[#This Row],[Follow Up Date]]=TODAY(),1,0)</f>
        <v>0</v>
      </c>
    </row>
    <row r="11" spans="1:16" x14ac:dyDescent="0.25">
      <c r="A11">
        <v>17</v>
      </c>
      <c r="B11">
        <v>9741547864</v>
      </c>
      <c r="C11" t="s">
        <v>70</v>
      </c>
      <c r="D11" t="s">
        <v>140</v>
      </c>
      <c r="E11" t="s">
        <v>154</v>
      </c>
      <c r="F11" t="s">
        <v>144</v>
      </c>
      <c r="G11" s="1">
        <v>46116</v>
      </c>
      <c r="H11" s="1">
        <v>46117</v>
      </c>
      <c r="J11" s="1">
        <v>46115</v>
      </c>
      <c r="K11">
        <f ca="1">IF(tblNeeds[[#This Row],[Status]]="Done",tblNeeds[[#This Row],[Date Cleared]]-tblNeeds[[#This Row],[Due Date]],TODAY()-tblNeeds[[#This Row],[Due Date]])</f>
        <v>-1</v>
      </c>
      <c r="M11">
        <f>IF(tblNeeds[[#This Row],[Status]]="Done",0,1)</f>
        <v>0</v>
      </c>
      <c r="N11" t="str">
        <f>IF(tblNeeds[[#This Row],[Status]]="Done","",
tblNeeds[[#This Row],[Task]] &amp; IF(tblNeeds[[#This Row],[Due Date]]&lt;&gt;""," (Due " &amp; TEXT(tblNeeds[[#This Row],[Due Date]],"m/d") &amp; ")",""))</f>
        <v/>
      </c>
      <c r="O11">
        <f ca="1">IF(AND(tblNeeds[[#This Row],[Status]]="Open",tblNeeds[[#This Row],[Due Date]]&lt;TODAY()),1,0)</f>
        <v>0</v>
      </c>
      <c r="P11">
        <f ca="1">IF(tblNeeds[[#This Row],[Follow Up Date]]=TODAY(),1,0)</f>
        <v>0</v>
      </c>
    </row>
    <row r="12" spans="1:16" x14ac:dyDescent="0.25">
      <c r="A12">
        <v>18</v>
      </c>
      <c r="B12">
        <v>9741547864</v>
      </c>
      <c r="C12" t="s">
        <v>70</v>
      </c>
      <c r="D12" t="s">
        <v>140</v>
      </c>
      <c r="E12" t="s">
        <v>155</v>
      </c>
      <c r="F12" t="s">
        <v>144</v>
      </c>
      <c r="G12" s="1">
        <v>46116</v>
      </c>
      <c r="H12" s="1">
        <v>46117</v>
      </c>
      <c r="J12" s="1">
        <v>46118</v>
      </c>
      <c r="K12">
        <f ca="1">IF(tblNeeds[[#This Row],[Status]]="Done",tblNeeds[[#This Row],[Date Cleared]]-tblNeeds[[#This Row],[Due Date]],TODAY()-tblNeeds[[#This Row],[Due Date]])</f>
        <v>2</v>
      </c>
      <c r="M12">
        <f>IF(tblNeeds[[#This Row],[Status]]="Done",0,1)</f>
        <v>0</v>
      </c>
      <c r="N12" t="str">
        <f>IF(tblNeeds[[#This Row],[Status]]="Done","",
tblNeeds[[#This Row],[Task]] &amp; IF(tblNeeds[[#This Row],[Due Date]]&lt;&gt;""," (Due " &amp; TEXT(tblNeeds[[#This Row],[Due Date]],"m/d") &amp; ")",""))</f>
        <v/>
      </c>
      <c r="O12">
        <f ca="1">IF(AND(tblNeeds[[#This Row],[Status]]="Open",tblNeeds[[#This Row],[Due Date]]&lt;TODAY()),1,0)</f>
        <v>0</v>
      </c>
      <c r="P12">
        <f ca="1">IF(tblNeeds[[#This Row],[Follow Up Date]]=TODAY(),1,0)</f>
        <v>0</v>
      </c>
    </row>
    <row r="13" spans="1:16" x14ac:dyDescent="0.25">
      <c r="A13">
        <v>19</v>
      </c>
      <c r="B13">
        <v>9741547864</v>
      </c>
      <c r="C13" t="s">
        <v>70</v>
      </c>
      <c r="D13" t="s">
        <v>146</v>
      </c>
      <c r="E13" t="s">
        <v>156</v>
      </c>
      <c r="F13" t="s">
        <v>144</v>
      </c>
      <c r="G13" s="1">
        <v>46121</v>
      </c>
      <c r="H13" s="1">
        <v>46122</v>
      </c>
      <c r="J13" s="1">
        <v>46115</v>
      </c>
      <c r="K13">
        <f ca="1">IF(tblNeeds[[#This Row],[Status]]="Done",tblNeeds[[#This Row],[Date Cleared]]-tblNeeds[[#This Row],[Due Date]],TODAY()-tblNeeds[[#This Row],[Due Date]])</f>
        <v>-6</v>
      </c>
      <c r="M13">
        <f>IF(tblNeeds[[#This Row],[Status]]="Done",0,1)</f>
        <v>0</v>
      </c>
      <c r="N13" t="str">
        <f>IF(tblNeeds[[#This Row],[Status]]="Done","",
tblNeeds[[#This Row],[Task]] &amp; IF(tblNeeds[[#This Row],[Due Date]]&lt;&gt;""," (Due " &amp; TEXT(tblNeeds[[#This Row],[Due Date]],"m/d") &amp; ")",""))</f>
        <v/>
      </c>
      <c r="O13">
        <f ca="1">IF(AND(tblNeeds[[#This Row],[Status]]="Open",tblNeeds[[#This Row],[Due Date]]&lt;TODAY()),1,0)</f>
        <v>0</v>
      </c>
      <c r="P13">
        <f ca="1">IF(tblNeeds[[#This Row],[Follow Up Date]]=TODAY(),1,0)</f>
        <v>0</v>
      </c>
    </row>
    <row r="14" spans="1:16" x14ac:dyDescent="0.25">
      <c r="A14">
        <v>20</v>
      </c>
      <c r="B14">
        <v>9741547864</v>
      </c>
      <c r="C14" t="s">
        <v>70</v>
      </c>
      <c r="D14" t="s">
        <v>146</v>
      </c>
      <c r="E14" t="s">
        <v>157</v>
      </c>
      <c r="F14" t="s">
        <v>142</v>
      </c>
      <c r="G14" s="1">
        <v>46230</v>
      </c>
      <c r="H14" s="1">
        <v>46231</v>
      </c>
      <c r="K14">
        <f ca="1">IF(tblNeeds[[#This Row],[Status]]="Done",tblNeeds[[#This Row],[Date Cleared]]-tblNeeds[[#This Row],[Due Date]],TODAY()-tblNeeds[[#This Row],[Due Date]])</f>
        <v>-12</v>
      </c>
      <c r="M14">
        <f>IF(tblNeeds[[#This Row],[Status]]="Done",0,1)</f>
        <v>1</v>
      </c>
      <c r="N14" t="str">
        <f>IF(tblNeeds[[#This Row],[Status]]="Done","",
tblNeeds[[#This Row],[Task]] &amp; IF(tblNeeds[[#This Row],[Due Date]]&lt;&gt;""," (Due " &amp; TEXT(tblNeeds[[#This Row],[Due Date]],"m/d") &amp; ")",""))</f>
        <v>Title Binder (Due 7/27)</v>
      </c>
      <c r="O14">
        <f ca="1">IF(AND(tblNeeds[[#This Row],[Status]]="Open",tblNeeds[[#This Row],[Due Date]]&lt;TODAY()),1,0)</f>
        <v>0</v>
      </c>
      <c r="P14">
        <f ca="1">IF(tblNeeds[[#This Row],[Follow Up Date]]=TODAY(),1,0)</f>
        <v>0</v>
      </c>
    </row>
    <row r="15" spans="1:16" x14ac:dyDescent="0.25">
      <c r="A15">
        <v>21</v>
      </c>
      <c r="B15">
        <v>9741547864</v>
      </c>
      <c r="C15" t="s">
        <v>70</v>
      </c>
      <c r="D15" t="s">
        <v>146</v>
      </c>
      <c r="E15" t="s">
        <v>158</v>
      </c>
      <c r="F15" t="s">
        <v>142</v>
      </c>
      <c r="G15" s="1">
        <v>46230</v>
      </c>
      <c r="H15" s="1">
        <v>46231</v>
      </c>
      <c r="K15">
        <f ca="1">IF(tblNeeds[[#This Row],[Status]]="Done",tblNeeds[[#This Row],[Date Cleared]]-tblNeeds[[#This Row],[Due Date]],TODAY()-tblNeeds[[#This Row],[Due Date]])</f>
        <v>-12</v>
      </c>
      <c r="M15">
        <f>IF(tblNeeds[[#This Row],[Status]]="Done",0,1)</f>
        <v>1</v>
      </c>
      <c r="N15" t="str">
        <f>IF(tblNeeds[[#This Row],[Status]]="Done","",
tblNeeds[[#This Row],[Task]] &amp; IF(tblNeeds[[#This Row],[Due Date]]&lt;&gt;""," (Due " &amp; TEXT(tblNeeds[[#This Row],[Due Date]],"m/d") &amp; ")",""))</f>
        <v>Wiring Instructions (Due 7/27)</v>
      </c>
      <c r="O15">
        <f ca="1">IF(AND(tblNeeds[[#This Row],[Status]]="Open",tblNeeds[[#This Row],[Due Date]]&lt;TODAY()),1,0)</f>
        <v>0</v>
      </c>
      <c r="P15">
        <f ca="1">IF(tblNeeds[[#This Row],[Follow Up Date]]=TODAY(),1,0)</f>
        <v>0</v>
      </c>
    </row>
    <row r="16" spans="1:16" x14ac:dyDescent="0.25">
      <c r="A16">
        <v>22</v>
      </c>
      <c r="B16">
        <v>9741547864</v>
      </c>
      <c r="C16" t="s">
        <v>70</v>
      </c>
      <c r="D16" t="s">
        <v>149</v>
      </c>
      <c r="E16" t="s">
        <v>159</v>
      </c>
      <c r="F16" t="s">
        <v>142</v>
      </c>
      <c r="G16" s="1">
        <v>46228</v>
      </c>
      <c r="H16" s="1">
        <v>46229</v>
      </c>
      <c r="K16">
        <f ca="1">IF(tblNeeds[[#This Row],[Status]]="Done",tblNeeds[[#This Row],[Date Cleared]]-tblNeeds[[#This Row],[Due Date]],TODAY()-tblNeeds[[#This Row],[Due Date]])</f>
        <v>-10</v>
      </c>
      <c r="M16">
        <f>IF(tblNeeds[[#This Row],[Status]]="Done",0,1)</f>
        <v>1</v>
      </c>
      <c r="N16" t="str">
        <f>IF(tblNeeds[[#This Row],[Status]]="Done","",
tblNeeds[[#This Row],[Task]] &amp; IF(tblNeeds[[#This Row],[Due Date]]&lt;&gt;""," (Due " &amp; TEXT(tblNeeds[[#This Row],[Due Date]],"m/d") &amp; ")",""))</f>
        <v>Addendum Adding Samantha to contract (Due 7/25)</v>
      </c>
      <c r="O16">
        <f ca="1">IF(AND(tblNeeds[[#This Row],[Status]]="Open",tblNeeds[[#This Row],[Due Date]]&lt;TODAY()),1,0)</f>
        <v>0</v>
      </c>
      <c r="P16">
        <f ca="1">IF(tblNeeds[[#This Row],[Follow Up Date]]=TODAY(),1,0)</f>
        <v>0</v>
      </c>
    </row>
    <row r="17" spans="1:16" x14ac:dyDescent="0.25">
      <c r="A17">
        <v>23</v>
      </c>
      <c r="B17">
        <v>9741547864</v>
      </c>
      <c r="C17" t="s">
        <v>70</v>
      </c>
      <c r="D17" t="s">
        <v>149</v>
      </c>
      <c r="E17" t="s">
        <v>160</v>
      </c>
      <c r="F17" t="s">
        <v>144</v>
      </c>
      <c r="G17" s="1">
        <v>46116</v>
      </c>
      <c r="H17" s="1">
        <v>46117</v>
      </c>
      <c r="J17" s="1">
        <v>46115</v>
      </c>
      <c r="K17">
        <f ca="1">IF(tblNeeds[[#This Row],[Status]]="Done",tblNeeds[[#This Row],[Date Cleared]]-tblNeeds[[#This Row],[Due Date]],TODAY()-tblNeeds[[#This Row],[Due Date]])</f>
        <v>-1</v>
      </c>
      <c r="M17">
        <f>IF(tblNeeds[[#This Row],[Status]]="Done",0,1)</f>
        <v>0</v>
      </c>
      <c r="N17" t="str">
        <f>IF(tblNeeds[[#This Row],[Status]]="Done","",
tblNeeds[[#This Row],[Task]] &amp; IF(tblNeeds[[#This Row],[Due Date]]&lt;&gt;""," (Due " &amp; TEXT(tblNeeds[[#This Row],[Due Date]],"m/d") &amp; ")",""))</f>
        <v/>
      </c>
      <c r="O17">
        <f ca="1">IF(AND(tblNeeds[[#This Row],[Status]]="Open",tblNeeds[[#This Row],[Due Date]]&lt;TODAY()),1,0)</f>
        <v>0</v>
      </c>
      <c r="P17">
        <f ca="1">IF(tblNeeds[[#This Row],[Follow Up Date]]=TODAY(),1,0)</f>
        <v>0</v>
      </c>
    </row>
    <row r="18" spans="1:16" x14ac:dyDescent="0.25">
      <c r="A18">
        <v>25</v>
      </c>
      <c r="B18">
        <v>4687641351</v>
      </c>
      <c r="C18" t="s">
        <v>79</v>
      </c>
      <c r="D18" t="s">
        <v>140</v>
      </c>
      <c r="E18" t="s">
        <v>161</v>
      </c>
      <c r="F18" t="s">
        <v>144</v>
      </c>
      <c r="G18" s="1">
        <v>46119</v>
      </c>
      <c r="H18" s="1">
        <v>46120</v>
      </c>
      <c r="J18" s="1">
        <v>46126</v>
      </c>
      <c r="K18">
        <f ca="1">IF(tblNeeds[[#This Row],[Status]]="Done",tblNeeds[[#This Row],[Date Cleared]]-tblNeeds[[#This Row],[Due Date]],TODAY()-tblNeeds[[#This Row],[Due Date]])</f>
        <v>7</v>
      </c>
      <c r="M18">
        <f>IF(tblNeeds[[#This Row],[Status]]="Done",0,1)</f>
        <v>0</v>
      </c>
      <c r="N18" t="str">
        <f>IF(tblNeeds[[#This Row],[Status]]="Done","",
tblNeeds[[#This Row],[Task]] &amp; IF(tblNeeds[[#This Row],[Due Date]]&lt;&gt;""," (Due " &amp; TEXT(tblNeeds[[#This Row],[Due Date]],"m/d") &amp; ")",""))</f>
        <v/>
      </c>
      <c r="O18">
        <f ca="1">IF(AND(tblNeeds[[#This Row],[Status]]="Open",tblNeeds[[#This Row],[Due Date]]&lt;TODAY()),1,0)</f>
        <v>0</v>
      </c>
      <c r="P18">
        <f ca="1">IF(tblNeeds[[#This Row],[Follow Up Date]]=TODAY(),1,0)</f>
        <v>0</v>
      </c>
    </row>
    <row r="19" spans="1:16" x14ac:dyDescent="0.25">
      <c r="A19">
        <v>26</v>
      </c>
      <c r="B19">
        <v>4687641351</v>
      </c>
      <c r="C19" t="s">
        <v>79</v>
      </c>
      <c r="D19" t="s">
        <v>140</v>
      </c>
      <c r="E19" t="s">
        <v>162</v>
      </c>
      <c r="F19" t="s">
        <v>144</v>
      </c>
      <c r="G19" s="1">
        <v>46117</v>
      </c>
      <c r="H19" s="1">
        <v>46118</v>
      </c>
      <c r="J19" s="1">
        <v>46126</v>
      </c>
      <c r="K19">
        <f ca="1">IF(tblNeeds[[#This Row],[Status]]="Done",tblNeeds[[#This Row],[Date Cleared]]-tblNeeds[[#This Row],[Due Date]],TODAY()-tblNeeds[[#This Row],[Due Date]])</f>
        <v>9</v>
      </c>
      <c r="M19">
        <f>IF(tblNeeds[[#This Row],[Status]]="Done",0,1)</f>
        <v>0</v>
      </c>
      <c r="N19" t="str">
        <f>IF(tblNeeds[[#This Row],[Status]]="Done","",
tblNeeds[[#This Row],[Task]] &amp; IF(tblNeeds[[#This Row],[Due Date]]&lt;&gt;""," (Due " &amp; TEXT(tblNeeds[[#This Row],[Due Date]],"m/d") &amp; ")",""))</f>
        <v/>
      </c>
      <c r="O19">
        <f ca="1">IF(AND(tblNeeds[[#This Row],[Status]]="Open",tblNeeds[[#This Row],[Due Date]]&lt;TODAY()),1,0)</f>
        <v>0</v>
      </c>
      <c r="P19">
        <f ca="1">IF(tblNeeds[[#This Row],[Follow Up Date]]=TODAY(),1,0)</f>
        <v>0</v>
      </c>
    </row>
    <row r="20" spans="1:16" x14ac:dyDescent="0.25">
      <c r="A20">
        <v>27</v>
      </c>
      <c r="B20">
        <v>4687641351</v>
      </c>
      <c r="C20" t="s">
        <v>79</v>
      </c>
      <c r="D20" t="s">
        <v>146</v>
      </c>
      <c r="E20" t="s">
        <v>157</v>
      </c>
      <c r="F20" t="s">
        <v>142</v>
      </c>
      <c r="G20" s="1">
        <v>46237</v>
      </c>
      <c r="H20" s="1">
        <v>46238</v>
      </c>
      <c r="K20">
        <f ca="1">IF(tblNeeds[[#This Row],[Status]]="Done",tblNeeds[[#This Row],[Date Cleared]]-tblNeeds[[#This Row],[Due Date]],TODAY()-tblNeeds[[#This Row],[Due Date]])</f>
        <v>-19</v>
      </c>
      <c r="M20">
        <f>IF(tblNeeds[[#This Row],[Status]]="Done",0,1)</f>
        <v>1</v>
      </c>
      <c r="N20" t="str">
        <f>IF(tblNeeds[[#This Row],[Status]]="Done","",
tblNeeds[[#This Row],[Task]] &amp; IF(tblNeeds[[#This Row],[Due Date]]&lt;&gt;""," (Due " &amp; TEXT(tblNeeds[[#This Row],[Due Date]],"m/d") &amp; ")",""))</f>
        <v>Title Binder (Due 8/3)</v>
      </c>
      <c r="O20">
        <f ca="1">IF(AND(tblNeeds[[#This Row],[Status]]="Open",tblNeeds[[#This Row],[Due Date]]&lt;TODAY()),1,0)</f>
        <v>0</v>
      </c>
      <c r="P20">
        <f ca="1">IF(tblNeeds[[#This Row],[Follow Up Date]]=TODAY(),1,0)</f>
        <v>0</v>
      </c>
    </row>
    <row r="21" spans="1:16" x14ac:dyDescent="0.25">
      <c r="A21">
        <v>28</v>
      </c>
      <c r="B21">
        <v>4687641351</v>
      </c>
      <c r="C21" t="s">
        <v>79</v>
      </c>
      <c r="D21" t="s">
        <v>146</v>
      </c>
      <c r="E21" t="s">
        <v>156</v>
      </c>
      <c r="F21" t="s">
        <v>144</v>
      </c>
      <c r="G21" s="1">
        <v>46122</v>
      </c>
      <c r="H21" s="1">
        <v>46123</v>
      </c>
      <c r="J21" s="1">
        <v>46183</v>
      </c>
      <c r="K21">
        <f ca="1">IF(tblNeeds[[#This Row],[Status]]="Done",tblNeeds[[#This Row],[Date Cleared]]-tblNeeds[[#This Row],[Due Date]],TODAY()-tblNeeds[[#This Row],[Due Date]])</f>
        <v>61</v>
      </c>
      <c r="M21">
        <f>IF(tblNeeds[[#This Row],[Status]]="Done",0,1)</f>
        <v>0</v>
      </c>
      <c r="N21" t="str">
        <f>IF(tblNeeds[[#This Row],[Status]]="Done","",
tblNeeds[[#This Row],[Task]] &amp; IF(tblNeeds[[#This Row],[Due Date]]&lt;&gt;""," (Due " &amp; TEXT(tblNeeds[[#This Row],[Due Date]],"m/d") &amp; ")",""))</f>
        <v/>
      </c>
      <c r="O21">
        <f ca="1">IF(AND(tblNeeds[[#This Row],[Status]]="Open",tblNeeds[[#This Row],[Due Date]]&lt;TODAY()),1,0)</f>
        <v>0</v>
      </c>
      <c r="P21">
        <f ca="1">IF(tblNeeds[[#This Row],[Follow Up Date]]=TODAY(),1,0)</f>
        <v>0</v>
      </c>
    </row>
    <row r="22" spans="1:16" x14ac:dyDescent="0.25">
      <c r="A22">
        <v>29</v>
      </c>
      <c r="B22">
        <v>4687641351</v>
      </c>
      <c r="C22" t="s">
        <v>79</v>
      </c>
      <c r="D22" t="s">
        <v>149</v>
      </c>
      <c r="E22" t="s">
        <v>163</v>
      </c>
      <c r="F22" t="s">
        <v>144</v>
      </c>
      <c r="G22" s="1">
        <v>46117</v>
      </c>
      <c r="H22" s="1">
        <v>46118</v>
      </c>
      <c r="J22" s="1">
        <v>46115</v>
      </c>
      <c r="K22">
        <f ca="1">IF(tblNeeds[[#This Row],[Status]]="Done",tblNeeds[[#This Row],[Date Cleared]]-tblNeeds[[#This Row],[Due Date]],TODAY()-tblNeeds[[#This Row],[Due Date]])</f>
        <v>-2</v>
      </c>
      <c r="M22">
        <f>IF(tblNeeds[[#This Row],[Status]]="Done",0,1)</f>
        <v>0</v>
      </c>
      <c r="N22" t="str">
        <f>IF(tblNeeds[[#This Row],[Status]]="Done","",
tblNeeds[[#This Row],[Task]] &amp; IF(tblNeeds[[#This Row],[Due Date]]&lt;&gt;""," (Due " &amp; TEXT(tblNeeds[[#This Row],[Due Date]],"m/d") &amp; ")",""))</f>
        <v/>
      </c>
      <c r="O22">
        <f ca="1">IF(AND(tblNeeds[[#This Row],[Status]]="Open",tblNeeds[[#This Row],[Due Date]]&lt;TODAY()),1,0)</f>
        <v>0</v>
      </c>
      <c r="P22">
        <f ca="1">IF(tblNeeds[[#This Row],[Follow Up Date]]=TODAY(),1,0)</f>
        <v>0</v>
      </c>
    </row>
    <row r="23" spans="1:16" x14ac:dyDescent="0.25">
      <c r="A23">
        <v>30</v>
      </c>
      <c r="B23">
        <v>4687641351</v>
      </c>
      <c r="C23" t="s">
        <v>79</v>
      </c>
      <c r="D23" t="s">
        <v>149</v>
      </c>
      <c r="E23" t="s">
        <v>164</v>
      </c>
      <c r="F23" t="s">
        <v>142</v>
      </c>
      <c r="G23" s="1">
        <v>46235</v>
      </c>
      <c r="H23" s="1">
        <v>46236</v>
      </c>
      <c r="K23">
        <f ca="1">IF(tblNeeds[[#This Row],[Status]]="Done",tblNeeds[[#This Row],[Date Cleared]]-tblNeeds[[#This Row],[Due Date]],TODAY()-tblNeeds[[#This Row],[Due Date]])</f>
        <v>-17</v>
      </c>
      <c r="M23">
        <f>IF(tblNeeds[[#This Row],[Status]]="Done",0,1)</f>
        <v>1</v>
      </c>
      <c r="N23" t="str">
        <f>IF(tblNeeds[[#This Row],[Status]]="Done","",
tblNeeds[[#This Row],[Task]] &amp; IF(tblNeeds[[#This Row],[Due Date]]&lt;&gt;""," (Due " &amp; TEXT(tblNeeds[[#This Row],[Due Date]],"m/d") &amp; ")",""))</f>
        <v>Sellers disclosures to be provided (Due 8/1)</v>
      </c>
      <c r="O23">
        <f ca="1">IF(AND(tblNeeds[[#This Row],[Status]]="Open",tblNeeds[[#This Row],[Due Date]]&lt;TODAY()),1,0)</f>
        <v>0</v>
      </c>
      <c r="P23">
        <f ca="1">IF(tblNeeds[[#This Row],[Follow Up Date]]=TODAY(),1,0)</f>
        <v>0</v>
      </c>
    </row>
    <row r="24" spans="1:16" x14ac:dyDescent="0.25">
      <c r="A24">
        <v>31</v>
      </c>
      <c r="B24">
        <v>5468464</v>
      </c>
      <c r="C24" t="s">
        <v>89</v>
      </c>
      <c r="D24" t="s">
        <v>140</v>
      </c>
      <c r="E24" t="s">
        <v>165</v>
      </c>
      <c r="F24" t="s">
        <v>142</v>
      </c>
      <c r="G24" s="1">
        <v>46219</v>
      </c>
      <c r="H24" s="1">
        <v>46220</v>
      </c>
      <c r="J24" s="1"/>
      <c r="K24">
        <f ca="1">IF(tblNeeds[[#This Row],[Status]]="Done",tblNeeds[[#This Row],[Date Cleared]]-tblNeeds[[#This Row],[Due Date]],TODAY()-tblNeeds[[#This Row],[Due Date]])</f>
        <v>-1</v>
      </c>
      <c r="M24">
        <f>IF(tblNeeds[[#This Row],[Status]]="Done",0,1)</f>
        <v>1</v>
      </c>
      <c r="N24" t="str">
        <f>IF(tblNeeds[[#This Row],[Status]]="Done","",
tblNeeds[[#This Row],[Task]] &amp; IF(tblNeeds[[#This Row],[Due Date]]&lt;&gt;""," (Due " &amp; TEXT(tblNeeds[[#This Row],[Due Date]],"m/d") &amp; ")",""))</f>
        <v>Most recent 2 paystubs (Due 7/16)</v>
      </c>
      <c r="O24">
        <f ca="1">IF(AND(tblNeeds[[#This Row],[Status]]="Open",tblNeeds[[#This Row],[Due Date]]&lt;TODAY()),1,0)</f>
        <v>0</v>
      </c>
      <c r="P24">
        <f ca="1">IF(tblNeeds[[#This Row],[Follow Up Date]]=TODAY(),1,0)</f>
        <v>0</v>
      </c>
    </row>
    <row r="25" spans="1:16" x14ac:dyDescent="0.25">
      <c r="A25">
        <v>32</v>
      </c>
      <c r="B25">
        <v>5468464</v>
      </c>
      <c r="C25" t="s">
        <v>89</v>
      </c>
      <c r="D25" t="s">
        <v>140</v>
      </c>
      <c r="E25" t="s">
        <v>166</v>
      </c>
      <c r="F25" t="s">
        <v>142</v>
      </c>
      <c r="G25" s="1">
        <v>46219</v>
      </c>
      <c r="H25" s="1">
        <v>46220</v>
      </c>
      <c r="J25" s="1"/>
      <c r="K25">
        <f ca="1">IF(tblNeeds[[#This Row],[Status]]="Done",tblNeeds[[#This Row],[Date Cleared]]-tblNeeds[[#This Row],[Due Date]],TODAY()-tblNeeds[[#This Row],[Due Date]])</f>
        <v>-1</v>
      </c>
      <c r="M25">
        <f>IF(tblNeeds[[#This Row],[Status]]="Done",0,1)</f>
        <v>1</v>
      </c>
      <c r="N25" t="str">
        <f>IF(tblNeeds[[#This Row],[Status]]="Done","",
tblNeeds[[#This Row],[Task]] &amp; IF(tblNeeds[[#This Row],[Due Date]]&lt;&gt;""," (Due " &amp; TEXT(tblNeeds[[#This Row],[Due Date]],"m/d") &amp; ")",""))</f>
        <v>2 months bank statements (Due 7/16)</v>
      </c>
      <c r="O25">
        <f ca="1">IF(AND(tblNeeds[[#This Row],[Status]]="Open",tblNeeds[[#This Row],[Due Date]]&lt;TODAY()),1,0)</f>
        <v>0</v>
      </c>
      <c r="P25">
        <f ca="1">IF(tblNeeds[[#This Row],[Follow Up Date]]=TODAY(),1,0)</f>
        <v>0</v>
      </c>
    </row>
    <row r="26" spans="1:16" x14ac:dyDescent="0.25">
      <c r="A26">
        <v>33</v>
      </c>
      <c r="B26">
        <v>5468464</v>
      </c>
      <c r="C26" t="s">
        <v>89</v>
      </c>
      <c r="D26" t="s">
        <v>140</v>
      </c>
      <c r="E26" t="s">
        <v>167</v>
      </c>
      <c r="F26" t="s">
        <v>142</v>
      </c>
      <c r="G26" s="1">
        <v>46219</v>
      </c>
      <c r="H26" s="1">
        <v>46220</v>
      </c>
      <c r="J26" s="1"/>
      <c r="K26">
        <f ca="1">IF(tblNeeds[[#This Row],[Status]]="Done",tblNeeds[[#This Row],[Date Cleared]]-tblNeeds[[#This Row],[Due Date]],TODAY()-tblNeeds[[#This Row],[Due Date]])</f>
        <v>-1</v>
      </c>
      <c r="M26">
        <f>IF(tblNeeds[[#This Row],[Status]]="Done",0,1)</f>
        <v>1</v>
      </c>
      <c r="N26" t="str">
        <f>IF(tblNeeds[[#This Row],[Status]]="Done","",
tblNeeds[[#This Row],[Task]] &amp; IF(tblNeeds[[#This Row],[Due Date]]&lt;&gt;""," (Due " &amp; TEXT(tblNeeds[[#This Row],[Due Date]],"m/d") &amp; ")",""))</f>
        <v>401K statements (Due 7/16)</v>
      </c>
      <c r="O26">
        <f ca="1">IF(AND(tblNeeds[[#This Row],[Status]]="Open",tblNeeds[[#This Row],[Due Date]]&lt;TODAY()),1,0)</f>
        <v>0</v>
      </c>
      <c r="P26">
        <f ca="1">IF(tblNeeds[[#This Row],[Follow Up Date]]=TODAY(),1,0)</f>
        <v>0</v>
      </c>
    </row>
    <row r="27" spans="1:16" x14ac:dyDescent="0.25">
      <c r="A27">
        <v>34</v>
      </c>
      <c r="B27">
        <v>5468464</v>
      </c>
      <c r="C27" t="s">
        <v>89</v>
      </c>
      <c r="D27" t="s">
        <v>140</v>
      </c>
      <c r="E27" t="s">
        <v>168</v>
      </c>
      <c r="F27" t="s">
        <v>144</v>
      </c>
      <c r="G27" s="1">
        <v>46117</v>
      </c>
      <c r="H27" s="1">
        <v>46118</v>
      </c>
      <c r="J27" s="1">
        <v>46118</v>
      </c>
      <c r="K27">
        <f ca="1">IF(tblNeeds[[#This Row],[Status]]="Done",tblNeeds[[#This Row],[Date Cleared]]-tblNeeds[[#This Row],[Due Date]],TODAY()-tblNeeds[[#This Row],[Due Date]])</f>
        <v>1</v>
      </c>
      <c r="M27">
        <f>IF(tblNeeds[[#This Row],[Status]]="Done",0,1)</f>
        <v>0</v>
      </c>
      <c r="N27" t="str">
        <f>IF(tblNeeds[[#This Row],[Status]]="Done","",
tblNeeds[[#This Row],[Task]] &amp; IF(tblNeeds[[#This Row],[Due Date]]&lt;&gt;""," (Due " &amp; TEXT(tblNeeds[[#This Row],[Due Date]],"m/d") &amp; ")",""))</f>
        <v/>
      </c>
      <c r="O27">
        <f ca="1">IF(AND(tblNeeds[[#This Row],[Status]]="Open",tblNeeds[[#This Row],[Due Date]]&lt;TODAY()),1,0)</f>
        <v>0</v>
      </c>
      <c r="P27">
        <f ca="1">IF(tblNeeds[[#This Row],[Follow Up Date]]=TODAY(),1,0)</f>
        <v>0</v>
      </c>
    </row>
    <row r="28" spans="1:16" x14ac:dyDescent="0.25">
      <c r="A28">
        <v>35</v>
      </c>
      <c r="B28">
        <v>5468464</v>
      </c>
      <c r="C28" t="s">
        <v>89</v>
      </c>
      <c r="D28" t="s">
        <v>140</v>
      </c>
      <c r="E28" t="s">
        <v>169</v>
      </c>
      <c r="F28" t="s">
        <v>144</v>
      </c>
      <c r="G28" s="1">
        <v>46117</v>
      </c>
      <c r="H28" s="1">
        <v>46118</v>
      </c>
      <c r="J28" s="1">
        <v>46115</v>
      </c>
      <c r="K28">
        <f ca="1">IF(tblNeeds[[#This Row],[Status]]="Done",tblNeeds[[#This Row],[Date Cleared]]-tblNeeds[[#This Row],[Due Date]],TODAY()-tblNeeds[[#This Row],[Due Date]])</f>
        <v>-2</v>
      </c>
      <c r="M28">
        <f>IF(tblNeeds[[#This Row],[Status]]="Done",0,1)</f>
        <v>0</v>
      </c>
      <c r="N28" t="str">
        <f>IF(tblNeeds[[#This Row],[Status]]="Done","",
tblNeeds[[#This Row],[Task]] &amp; IF(tblNeeds[[#This Row],[Due Date]]&lt;&gt;""," (Due " &amp; TEXT(tblNeeds[[#This Row],[Due Date]],"m/d") &amp; ")",""))</f>
        <v/>
      </c>
      <c r="O28">
        <f ca="1">IF(AND(tblNeeds[[#This Row],[Status]]="Open",tblNeeds[[#This Row],[Due Date]]&lt;TODAY()),1,0)</f>
        <v>0</v>
      </c>
      <c r="P28">
        <f ca="1">IF(tblNeeds[[#This Row],[Follow Up Date]]=TODAY(),1,0)</f>
        <v>0</v>
      </c>
    </row>
    <row r="29" spans="1:16" x14ac:dyDescent="0.25">
      <c r="A29">
        <v>36</v>
      </c>
      <c r="B29">
        <v>5468464</v>
      </c>
      <c r="C29" t="s">
        <v>89</v>
      </c>
      <c r="D29" t="s">
        <v>146</v>
      </c>
      <c r="E29" t="s">
        <v>157</v>
      </c>
      <c r="F29" t="s">
        <v>142</v>
      </c>
      <c r="G29" s="1">
        <v>46212</v>
      </c>
      <c r="H29" s="1">
        <v>46213</v>
      </c>
      <c r="K29">
        <f ca="1">IF(tblNeeds[[#This Row],[Status]]="Done",tblNeeds[[#This Row],[Date Cleared]]-tblNeeds[[#This Row],[Due Date]],TODAY()-tblNeeds[[#This Row],[Due Date]])</f>
        <v>6</v>
      </c>
      <c r="M29">
        <f>IF(tblNeeds[[#This Row],[Status]]="Done",0,1)</f>
        <v>1</v>
      </c>
      <c r="N29" t="str">
        <f>IF(tblNeeds[[#This Row],[Status]]="Done","",
tblNeeds[[#This Row],[Task]] &amp; IF(tblNeeds[[#This Row],[Due Date]]&lt;&gt;""," (Due " &amp; TEXT(tblNeeds[[#This Row],[Due Date]],"m/d") &amp; ")",""))</f>
        <v>Title Binder (Due 7/9)</v>
      </c>
      <c r="O29">
        <f ca="1">IF(AND(tblNeeds[[#This Row],[Status]]="Open",tblNeeds[[#This Row],[Due Date]]&lt;TODAY()),1,0)</f>
        <v>1</v>
      </c>
      <c r="P29">
        <f ca="1">IF(tblNeeds[[#This Row],[Follow Up Date]]=TODAY(),1,0)</f>
        <v>0</v>
      </c>
    </row>
    <row r="30" spans="1:16" x14ac:dyDescent="0.25">
      <c r="A30">
        <v>37</v>
      </c>
      <c r="B30">
        <v>5468464</v>
      </c>
      <c r="C30" t="s">
        <v>89</v>
      </c>
      <c r="D30" t="s">
        <v>149</v>
      </c>
      <c r="E30" t="s">
        <v>170</v>
      </c>
      <c r="F30" t="s">
        <v>142</v>
      </c>
      <c r="G30" s="1">
        <v>46218</v>
      </c>
      <c r="H30" s="1">
        <v>46219</v>
      </c>
      <c r="J30" s="1"/>
      <c r="K30">
        <f ca="1">IF(tblNeeds[[#This Row],[Status]]="Done",tblNeeds[[#This Row],[Date Cleared]]-tblNeeds[[#This Row],[Due Date]],TODAY()-tblNeeds[[#This Row],[Due Date]])</f>
        <v>0</v>
      </c>
      <c r="M30">
        <f>IF(tblNeeds[[#This Row],[Status]]="Done",0,1)</f>
        <v>1</v>
      </c>
      <c r="N30" t="str">
        <f>IF(tblNeeds[[#This Row],[Status]]="Done","",
tblNeeds[[#This Row],[Task]] &amp; IF(tblNeeds[[#This Row],[Due Date]]&lt;&gt;""," (Due " &amp; TEXT(tblNeeds[[#This Row],[Due Date]],"m/d") &amp; ")",""))</f>
        <v>Copy of signed contract (Due 7/15)</v>
      </c>
      <c r="O30">
        <f ca="1">IF(AND(tblNeeds[[#This Row],[Status]]="Open",tblNeeds[[#This Row],[Due Date]]&lt;TODAY()),1,0)</f>
        <v>0</v>
      </c>
      <c r="P30">
        <f ca="1">IF(tblNeeds[[#This Row],[Follow Up Date]]=TODAY(),1,0)</f>
        <v>0</v>
      </c>
    </row>
    <row r="31" spans="1:16" x14ac:dyDescent="0.25">
      <c r="A31">
        <v>38</v>
      </c>
      <c r="B31">
        <v>5468464</v>
      </c>
      <c r="C31" t="s">
        <v>89</v>
      </c>
      <c r="D31" t="s">
        <v>149</v>
      </c>
      <c r="E31" t="s">
        <v>171</v>
      </c>
      <c r="F31" t="s">
        <v>142</v>
      </c>
      <c r="G31" s="1">
        <v>46218</v>
      </c>
      <c r="H31" s="1">
        <v>46219</v>
      </c>
      <c r="J31" s="1"/>
      <c r="K31">
        <f ca="1">IF(tblNeeds[[#This Row],[Status]]="Done",tblNeeds[[#This Row],[Date Cleared]]-tblNeeds[[#This Row],[Due Date]],TODAY()-tblNeeds[[#This Row],[Due Date]])</f>
        <v>0</v>
      </c>
      <c r="M31">
        <f>IF(tblNeeds[[#This Row],[Status]]="Done",0,1)</f>
        <v>1</v>
      </c>
      <c r="N31" t="str">
        <f>IF(tblNeeds[[#This Row],[Status]]="Done","",
tblNeeds[[#This Row],[Task]] &amp; IF(tblNeeds[[#This Row],[Due Date]]&lt;&gt;""," (Due " &amp; TEXT(tblNeeds[[#This Row],[Due Date]],"m/d") &amp; ")",""))</f>
        <v>HOA information and fees (Due 7/15)</v>
      </c>
      <c r="O31">
        <f ca="1">IF(AND(tblNeeds[[#This Row],[Status]]="Open",tblNeeds[[#This Row],[Due Date]]&lt;TODAY()),1,0)</f>
        <v>0</v>
      </c>
      <c r="P31">
        <f ca="1">IF(tblNeeds[[#This Row],[Follow Up Date]]=TODAY(),1,0)</f>
        <v>0</v>
      </c>
    </row>
    <row r="32" spans="1:16" x14ac:dyDescent="0.25">
      <c r="A32">
        <v>53</v>
      </c>
      <c r="B32">
        <v>9741547864</v>
      </c>
      <c r="C32" t="s">
        <v>70</v>
      </c>
      <c r="D32" t="s">
        <v>140</v>
      </c>
      <c r="E32" t="s">
        <v>172</v>
      </c>
      <c r="F32" t="s">
        <v>142</v>
      </c>
      <c r="G32" s="1">
        <v>46227</v>
      </c>
      <c r="H32" s="1">
        <v>46228</v>
      </c>
      <c r="K32">
        <f ca="1">IF(tblNeeds[[#This Row],[Status]]="Done",tblNeeds[[#This Row],[Date Cleared]]-tblNeeds[[#This Row],[Due Date]],TODAY()-tblNeeds[[#This Row],[Due Date]])</f>
        <v>-9</v>
      </c>
      <c r="M32">
        <f>IF(tblNeeds[[#This Row],[Status]]="Done",0,1)</f>
        <v>1</v>
      </c>
      <c r="N32" t="str">
        <f>IF(tblNeeds[[#This Row],[Status]]="Done","",
tblNeeds[[#This Row],[Task]] &amp; IF(tblNeeds[[#This Row],[Due Date]]&lt;&gt;""," (Due " &amp; TEXT(tblNeeds[[#This Row],[Due Date]],"m/d") &amp; ")",""))</f>
        <v>Missing page 4 of bank statement (Due 7/24)</v>
      </c>
      <c r="O32">
        <f ca="1">IF(AND(tblNeeds[[#This Row],[Status]]="Open",tblNeeds[[#This Row],[Due Date]]&lt;TODAY()),1,0)</f>
        <v>0</v>
      </c>
      <c r="P32">
        <f ca="1">IF(tblNeeds[[#This Row],[Follow Up Date]]=TODAY(),1,0)</f>
        <v>0</v>
      </c>
    </row>
    <row r="33" spans="1:16" x14ac:dyDescent="0.25">
      <c r="A33">
        <v>59</v>
      </c>
      <c r="B33">
        <v>5468464</v>
      </c>
      <c r="C33" t="s">
        <v>89</v>
      </c>
      <c r="D33" t="s">
        <v>140</v>
      </c>
      <c r="E33" t="s">
        <v>145</v>
      </c>
      <c r="F33" t="s">
        <v>142</v>
      </c>
      <c r="G33" s="1">
        <v>46219</v>
      </c>
      <c r="H33" s="1">
        <v>46220</v>
      </c>
      <c r="K33">
        <f ca="1">IF(tblNeeds[[#This Row],[Status]]="Done",tblNeeds[[#This Row],[Date Cleared]]-tblNeeds[[#This Row],[Due Date]],TODAY()-tblNeeds[[#This Row],[Due Date]])</f>
        <v>-1</v>
      </c>
      <c r="M33">
        <f>IF(tblNeeds[[#This Row],[Status]]="Done",0,1)</f>
        <v>1</v>
      </c>
      <c r="N33" t="str">
        <f>IF(tblNeeds[[#This Row],[Status]]="Done","",
tblNeeds[[#This Row],[Task]] &amp; IF(tblNeeds[[#This Row],[Due Date]]&lt;&gt;""," (Due " &amp; TEXT(tblNeeds[[#This Row],[Due Date]],"m/d") &amp; ")",""))</f>
        <v>Divorce Decree (Due 7/16)</v>
      </c>
      <c r="O33">
        <f ca="1">IF(AND(tblNeeds[[#This Row],[Status]]="Open",tblNeeds[[#This Row],[Due Date]]&lt;TODAY()),1,0)</f>
        <v>0</v>
      </c>
      <c r="P33">
        <f ca="1">IF(tblNeeds[[#This Row],[Follow Up Date]]=TODAY(),1,0)</f>
        <v>0</v>
      </c>
    </row>
    <row r="34" spans="1:16" x14ac:dyDescent="0.25">
      <c r="A34">
        <v>65</v>
      </c>
      <c r="B34">
        <v>9741547864</v>
      </c>
      <c r="C34" t="s">
        <v>70</v>
      </c>
      <c r="D34" t="s">
        <v>146</v>
      </c>
      <c r="E34" t="s">
        <v>173</v>
      </c>
      <c r="F34" t="s">
        <v>144</v>
      </c>
      <c r="G34" s="1">
        <v>46132</v>
      </c>
      <c r="H34" s="1">
        <v>46121</v>
      </c>
      <c r="J34" s="1">
        <v>46183</v>
      </c>
      <c r="K34">
        <f ca="1">IF(tblNeeds[[#This Row],[Status]]="Done",tblNeeds[[#This Row],[Date Cleared]]-tblNeeds[[#This Row],[Due Date]],TODAY()-tblNeeds[[#This Row],[Due Date]])</f>
        <v>51</v>
      </c>
      <c r="M34">
        <f>IF(tblNeeds[[#This Row],[Status]]="Done",0,1)</f>
        <v>0</v>
      </c>
      <c r="N34" t="str">
        <f>IF(tblNeeds[[#This Row],[Status]]="Done","",
tblNeeds[[#This Row],[Task]] &amp; IF(tblNeeds[[#This Row],[Due Date]]&lt;&gt;""," (Due " &amp; TEXT(tblNeeds[[#This Row],[Due Date]],"m/d") &amp; ")",""))</f>
        <v/>
      </c>
      <c r="O34">
        <f ca="1">IF(AND(tblNeeds[[#This Row],[Status]]="Open",tblNeeds[[#This Row],[Due Date]]&lt;TODAY()),1,0)</f>
        <v>0</v>
      </c>
      <c r="P34">
        <f ca="1">IF(tblNeeds[[#This Row],[Follow Up Date]]=TODAY(),1,0)</f>
        <v>0</v>
      </c>
    </row>
    <row r="35" spans="1:16" x14ac:dyDescent="0.25">
      <c r="A35">
        <v>66</v>
      </c>
      <c r="B35">
        <v>1645564</v>
      </c>
      <c r="C35" t="s">
        <v>11</v>
      </c>
      <c r="D35" t="s">
        <v>140</v>
      </c>
      <c r="E35" t="s">
        <v>174</v>
      </c>
      <c r="F35" t="s">
        <v>144</v>
      </c>
      <c r="G35" s="1">
        <v>46120</v>
      </c>
      <c r="H35" s="1">
        <v>46121</v>
      </c>
      <c r="J35" s="1">
        <v>46118</v>
      </c>
      <c r="K35">
        <f ca="1">IF(tblNeeds[[#This Row],[Status]]="Done",tblNeeds[[#This Row],[Date Cleared]]-tblNeeds[[#This Row],[Due Date]],TODAY()-tblNeeds[[#This Row],[Due Date]])</f>
        <v>-2</v>
      </c>
      <c r="M35">
        <f>IF(tblNeeds[[#This Row],[Status]]="Done",0,1)</f>
        <v>0</v>
      </c>
      <c r="N35" t="str">
        <f>IF(tblNeeds[[#This Row],[Status]]="Done","",
tblNeeds[[#This Row],[Task]] &amp; IF(tblNeeds[[#This Row],[Due Date]]&lt;&gt;""," (Due " &amp; TEXT(tblNeeds[[#This Row],[Due Date]],"m/d") &amp; ")",""))</f>
        <v/>
      </c>
      <c r="O35">
        <f ca="1">IF(AND(tblNeeds[[#This Row],[Status]]="Open",tblNeeds[[#This Row],[Due Date]]&lt;TODAY()),1,0)</f>
        <v>0</v>
      </c>
      <c r="P35">
        <f ca="1">IF(tblNeeds[[#This Row],[Follow Up Date]]=TODAY(),1,0)</f>
        <v>0</v>
      </c>
    </row>
    <row r="36" spans="1:16" x14ac:dyDescent="0.25">
      <c r="A36">
        <v>67</v>
      </c>
      <c r="B36">
        <v>1645564</v>
      </c>
      <c r="C36" t="s">
        <v>11</v>
      </c>
      <c r="D36" t="s">
        <v>140</v>
      </c>
      <c r="E36" t="s">
        <v>175</v>
      </c>
      <c r="F36" t="s">
        <v>142</v>
      </c>
      <c r="G36" s="1">
        <v>46221</v>
      </c>
      <c r="H36" s="1">
        <v>46222</v>
      </c>
      <c r="K36">
        <f ca="1">IF(tblNeeds[[#This Row],[Status]]="Done",tblNeeds[[#This Row],[Date Cleared]]-tblNeeds[[#This Row],[Due Date]],TODAY()-tblNeeds[[#This Row],[Due Date]])</f>
        <v>-3</v>
      </c>
      <c r="M36">
        <f>IF(tblNeeds[[#This Row],[Status]]="Done",0,1)</f>
        <v>1</v>
      </c>
      <c r="N36" t="str">
        <f>IF(tblNeeds[[#This Row],[Status]]="Done","",
tblNeeds[[#This Row],[Task]] &amp; IF(tblNeeds[[#This Row],[Due Date]]&lt;&gt;""," (Due " &amp; TEXT(tblNeeds[[#This Row],[Due Date]],"m/d") &amp; ")",""))</f>
        <v>Stock statements - 2 months (Due 7/18)</v>
      </c>
      <c r="O36">
        <f ca="1">IF(AND(tblNeeds[[#This Row],[Status]]="Open",tblNeeds[[#This Row],[Due Date]]&lt;TODAY()),1,0)</f>
        <v>0</v>
      </c>
      <c r="P36">
        <f ca="1">IF(tblNeeds[[#This Row],[Follow Up Date]]=TODAY(),1,0)</f>
        <v>0</v>
      </c>
    </row>
    <row r="37" spans="1:16" x14ac:dyDescent="0.25">
      <c r="A37">
        <v>68</v>
      </c>
      <c r="B37">
        <v>1645564</v>
      </c>
      <c r="C37" t="s">
        <v>11</v>
      </c>
      <c r="D37" t="s">
        <v>146</v>
      </c>
      <c r="E37" t="s">
        <v>156</v>
      </c>
      <c r="F37" t="s">
        <v>142</v>
      </c>
      <c r="G37" s="1">
        <v>46221</v>
      </c>
      <c r="H37" s="1">
        <v>46222</v>
      </c>
      <c r="K37">
        <f ca="1">IF(tblNeeds[[#This Row],[Status]]="Done",tblNeeds[[#This Row],[Date Cleared]]-tblNeeds[[#This Row],[Due Date]],TODAY()-tblNeeds[[#This Row],[Due Date]])</f>
        <v>-3</v>
      </c>
      <c r="M37">
        <f>IF(tblNeeds[[#This Row],[Status]]="Done",0,1)</f>
        <v>1</v>
      </c>
      <c r="N37" t="str">
        <f>IF(tblNeeds[[#This Row],[Status]]="Done","",
tblNeeds[[#This Row],[Task]] &amp; IF(tblNeeds[[#This Row],[Due Date]]&lt;&gt;""," (Due " &amp; TEXT(tblNeeds[[#This Row],[Due Date]],"m/d") &amp; ")",""))</f>
        <v>Prelim CD (Due 7/18)</v>
      </c>
      <c r="O37">
        <f ca="1">IF(AND(tblNeeds[[#This Row],[Status]]="Open",tblNeeds[[#This Row],[Due Date]]&lt;TODAY()),1,0)</f>
        <v>0</v>
      </c>
      <c r="P37">
        <f ca="1">IF(tblNeeds[[#This Row],[Follow Up Date]]=TODAY(),1,0)</f>
        <v>0</v>
      </c>
    </row>
    <row r="38" spans="1:16" x14ac:dyDescent="0.25">
      <c r="A38">
        <v>69</v>
      </c>
      <c r="B38">
        <v>1645564</v>
      </c>
      <c r="C38" t="s">
        <v>11</v>
      </c>
      <c r="D38" t="s">
        <v>146</v>
      </c>
      <c r="E38" t="s">
        <v>176</v>
      </c>
      <c r="F38" t="s">
        <v>144</v>
      </c>
      <c r="G38" s="1">
        <v>46125</v>
      </c>
      <c r="H38" s="1">
        <v>46126</v>
      </c>
      <c r="J38" s="1">
        <v>46125</v>
      </c>
      <c r="K38">
        <f ca="1">IF(tblNeeds[[#This Row],[Status]]="Done",tblNeeds[[#This Row],[Date Cleared]]-tblNeeds[[#This Row],[Due Date]],TODAY()-tblNeeds[[#This Row],[Due Date]])</f>
        <v>0</v>
      </c>
      <c r="M38">
        <f>IF(tblNeeds[[#This Row],[Status]]="Done",0,1)</f>
        <v>0</v>
      </c>
      <c r="N38" t="str">
        <f>IF(tblNeeds[[#This Row],[Status]]="Done","",
tblNeeds[[#This Row],[Task]] &amp; IF(tblNeeds[[#This Row],[Due Date]]&lt;&gt;""," (Due " &amp; TEXT(tblNeeds[[#This Row],[Due Date]],"m/d") &amp; ")",""))</f>
        <v/>
      </c>
      <c r="O38">
        <f ca="1">IF(AND(tblNeeds[[#This Row],[Status]]="Open",tblNeeds[[#This Row],[Due Date]]&lt;TODAY()),1,0)</f>
        <v>0</v>
      </c>
      <c r="P38">
        <f ca="1">IF(tblNeeds[[#This Row],[Follow Up Date]]=TODAY(),1,0)</f>
        <v>0</v>
      </c>
    </row>
    <row r="39" spans="1:16" x14ac:dyDescent="0.25">
      <c r="A39">
        <v>70</v>
      </c>
      <c r="B39">
        <v>1645564</v>
      </c>
      <c r="C39" t="s">
        <v>11</v>
      </c>
      <c r="D39" t="s">
        <v>149</v>
      </c>
      <c r="E39" t="s">
        <v>177</v>
      </c>
      <c r="F39" t="s">
        <v>142</v>
      </c>
      <c r="G39" s="1">
        <v>46220</v>
      </c>
      <c r="H39" s="1">
        <v>46221</v>
      </c>
      <c r="K39">
        <f ca="1">IF(tblNeeds[[#This Row],[Status]]="Done",tblNeeds[[#This Row],[Date Cleared]]-tblNeeds[[#This Row],[Due Date]],TODAY()-tblNeeds[[#This Row],[Due Date]])</f>
        <v>-2</v>
      </c>
      <c r="M39">
        <f>IF(tblNeeds[[#This Row],[Status]]="Done",0,1)</f>
        <v>1</v>
      </c>
      <c r="N39" t="str">
        <f>IF(tblNeeds[[#This Row],[Status]]="Done","",
tblNeeds[[#This Row],[Task]] &amp; IF(tblNeeds[[#This Row],[Due Date]]&lt;&gt;""," (Due " &amp; TEXT(tblNeeds[[#This Row],[Due Date]],"m/d") &amp; ")",""))</f>
        <v>Addendum to contract (Due 7/17)</v>
      </c>
      <c r="O39">
        <f ca="1">IF(AND(tblNeeds[[#This Row],[Status]]="Open",tblNeeds[[#This Row],[Due Date]]&lt;TODAY()),1,0)</f>
        <v>0</v>
      </c>
      <c r="P39">
        <f ca="1">IF(tblNeeds[[#This Row],[Follow Up Date]]=TODAY(),1,0)</f>
        <v>0</v>
      </c>
    </row>
    <row r="40" spans="1:16" x14ac:dyDescent="0.25">
      <c r="A40">
        <v>71</v>
      </c>
      <c r="B40">
        <v>1645564</v>
      </c>
      <c r="C40" t="s">
        <v>11</v>
      </c>
      <c r="D40" t="s">
        <v>140</v>
      </c>
      <c r="E40" t="s">
        <v>178</v>
      </c>
      <c r="F40" t="s">
        <v>144</v>
      </c>
      <c r="G40" s="1">
        <v>46120</v>
      </c>
      <c r="H40" s="1">
        <v>46121</v>
      </c>
      <c r="J40" s="1">
        <v>46128</v>
      </c>
      <c r="K40">
        <f ca="1">IF(tblNeeds[[#This Row],[Status]]="Done",tblNeeds[[#This Row],[Date Cleared]]-tblNeeds[[#This Row],[Due Date]],TODAY()-tblNeeds[[#This Row],[Due Date]])</f>
        <v>8</v>
      </c>
      <c r="M40">
        <f>IF(tblNeeds[[#This Row],[Status]]="Done",0,1)</f>
        <v>0</v>
      </c>
      <c r="N40" t="str">
        <f>IF(tblNeeds[[#This Row],[Status]]="Done","",
tblNeeds[[#This Row],[Task]] &amp; IF(tblNeeds[[#This Row],[Due Date]]&lt;&gt;""," (Due " &amp; TEXT(tblNeeds[[#This Row],[Due Date]],"m/d") &amp; ")",""))</f>
        <v/>
      </c>
      <c r="O40">
        <f ca="1">IF(AND(tblNeeds[[#This Row],[Status]]="Open",tblNeeds[[#This Row],[Due Date]]&lt;TODAY()),1,0)</f>
        <v>0</v>
      </c>
      <c r="P40">
        <f ca="1">IF(tblNeeds[[#This Row],[Follow Up Date]]=TODAY(),1,0)</f>
        <v>0</v>
      </c>
    </row>
    <row r="41" spans="1:16" x14ac:dyDescent="0.25">
      <c r="A41">
        <v>72</v>
      </c>
      <c r="B41">
        <v>456789456</v>
      </c>
      <c r="C41" t="s">
        <v>104</v>
      </c>
      <c r="D41" t="s">
        <v>140</v>
      </c>
      <c r="E41" t="s">
        <v>179</v>
      </c>
      <c r="F41" t="s">
        <v>142</v>
      </c>
      <c r="G41" s="1">
        <v>46242</v>
      </c>
      <c r="H41" s="1">
        <v>46243</v>
      </c>
      <c r="K41">
        <f ca="1">IF(tblNeeds[[#This Row],[Status]]="Done",tblNeeds[[#This Row],[Date Cleared]]-tblNeeds[[#This Row],[Due Date]],TODAY()-tblNeeds[[#This Row],[Due Date]])</f>
        <v>-24</v>
      </c>
      <c r="M41">
        <f>IF(tblNeeds[[#This Row],[Status]]="Done",0,1)</f>
        <v>1</v>
      </c>
      <c r="N41" t="str">
        <f>IF(tblNeeds[[#This Row],[Status]]="Done","",
tblNeeds[[#This Row],[Task]] &amp; IF(tblNeeds[[#This Row],[Due Date]]&lt;&gt;""," (Due " &amp; TEXT(tblNeeds[[#This Row],[Due Date]],"m/d") &amp; ")",""))</f>
        <v>paystub (Due 8/8)</v>
      </c>
      <c r="O41">
        <f ca="1">IF(AND(tblNeeds[[#This Row],[Status]]="Open",tblNeeds[[#This Row],[Due Date]]&lt;TODAY()),1,0)</f>
        <v>0</v>
      </c>
      <c r="P41">
        <f ca="1">IF(tblNeeds[[#This Row],[Follow Up Date]]=TODAY(),1,0)</f>
        <v>0</v>
      </c>
    </row>
    <row r="42" spans="1:16" x14ac:dyDescent="0.25">
      <c r="A42">
        <v>73</v>
      </c>
      <c r="B42">
        <v>456789456</v>
      </c>
      <c r="C42" t="s">
        <v>104</v>
      </c>
      <c r="D42" t="s">
        <v>140</v>
      </c>
      <c r="E42" t="s">
        <v>180</v>
      </c>
      <c r="F42" t="s">
        <v>144</v>
      </c>
      <c r="G42" s="1">
        <v>46121</v>
      </c>
      <c r="H42" s="1">
        <v>46122</v>
      </c>
      <c r="J42" s="1">
        <v>46125</v>
      </c>
      <c r="K42">
        <f ca="1">IF(tblNeeds[[#This Row],[Status]]="Done",tblNeeds[[#This Row],[Date Cleared]]-tblNeeds[[#This Row],[Due Date]],TODAY()-tblNeeds[[#This Row],[Due Date]])</f>
        <v>4</v>
      </c>
      <c r="M42">
        <f>IF(tblNeeds[[#This Row],[Status]]="Done",0,1)</f>
        <v>0</v>
      </c>
      <c r="N42" t="str">
        <f>IF(tblNeeds[[#This Row],[Status]]="Done","",
tblNeeds[[#This Row],[Task]] &amp; IF(tblNeeds[[#This Row],[Due Date]]&lt;&gt;""," (Due " &amp; TEXT(tblNeeds[[#This Row],[Due Date]],"m/d") &amp; ")",""))</f>
        <v/>
      </c>
      <c r="O42">
        <f ca="1">IF(AND(tblNeeds[[#This Row],[Status]]="Open",tblNeeds[[#This Row],[Due Date]]&lt;TODAY()),1,0)</f>
        <v>0</v>
      </c>
      <c r="P42">
        <f ca="1">IF(tblNeeds[[#This Row],[Follow Up Date]]=TODAY(),1,0)</f>
        <v>0</v>
      </c>
    </row>
    <row r="43" spans="1:16" x14ac:dyDescent="0.25">
      <c r="A43">
        <v>74</v>
      </c>
      <c r="B43">
        <v>456789456</v>
      </c>
      <c r="C43" t="s">
        <v>104</v>
      </c>
      <c r="D43" t="s">
        <v>146</v>
      </c>
      <c r="E43" t="s">
        <v>181</v>
      </c>
      <c r="F43" t="s">
        <v>142</v>
      </c>
      <c r="G43" s="1">
        <v>46244</v>
      </c>
      <c r="H43" s="1">
        <v>46245</v>
      </c>
      <c r="K43">
        <f ca="1">IF(tblNeeds[[#This Row],[Status]]="Done",tblNeeds[[#This Row],[Date Cleared]]-tblNeeds[[#This Row],[Due Date]],TODAY()-tblNeeds[[#This Row],[Due Date]])</f>
        <v>-26</v>
      </c>
      <c r="M43">
        <f>IF(tblNeeds[[#This Row],[Status]]="Done",0,1)</f>
        <v>1</v>
      </c>
      <c r="N43" t="str">
        <f>IF(tblNeeds[[#This Row],[Status]]="Done","",
tblNeeds[[#This Row],[Task]] &amp; IF(tblNeeds[[#This Row],[Due Date]]&lt;&gt;""," (Due " &amp; TEXT(tblNeeds[[#This Row],[Due Date]],"m/d") &amp; ")",""))</f>
        <v>prelim cd with new fees (Due 8/10)</v>
      </c>
      <c r="O43">
        <f ca="1">IF(AND(tblNeeds[[#This Row],[Status]]="Open",tblNeeds[[#This Row],[Due Date]]&lt;TODAY()),1,0)</f>
        <v>0</v>
      </c>
      <c r="P43">
        <f ca="1">IF(tblNeeds[[#This Row],[Follow Up Date]]=TODAY(),1,0)</f>
        <v>0</v>
      </c>
    </row>
    <row r="44" spans="1:16" x14ac:dyDescent="0.25">
      <c r="A44">
        <v>75</v>
      </c>
      <c r="B44">
        <v>456789456</v>
      </c>
      <c r="C44" t="s">
        <v>104</v>
      </c>
      <c r="D44" t="s">
        <v>149</v>
      </c>
      <c r="E44" t="s">
        <v>182</v>
      </c>
      <c r="F44" t="s">
        <v>144</v>
      </c>
      <c r="G44" s="1">
        <v>46121</v>
      </c>
      <c r="H44" s="1">
        <v>46122</v>
      </c>
      <c r="J44" s="1">
        <v>46125</v>
      </c>
      <c r="K44">
        <f ca="1">IF(tblNeeds[[#This Row],[Status]]="Done",tblNeeds[[#This Row],[Date Cleared]]-tblNeeds[[#This Row],[Due Date]],TODAY()-tblNeeds[[#This Row],[Due Date]])</f>
        <v>4</v>
      </c>
      <c r="M44">
        <f>IF(tblNeeds[[#This Row],[Status]]="Done",0,1)</f>
        <v>0</v>
      </c>
      <c r="N44" t="str">
        <f>IF(tblNeeds[[#This Row],[Status]]="Done","",
tblNeeds[[#This Row],[Task]] &amp; IF(tblNeeds[[#This Row],[Due Date]]&lt;&gt;""," (Due " &amp; TEXT(tblNeeds[[#This Row],[Due Date]],"m/d") &amp; ")",""))</f>
        <v/>
      </c>
      <c r="O44">
        <f ca="1">IF(AND(tblNeeds[[#This Row],[Status]]="Open",tblNeeds[[#This Row],[Due Date]]&lt;TODAY()),1,0)</f>
        <v>0</v>
      </c>
      <c r="P44">
        <f ca="1">IF(tblNeeds[[#This Row],[Follow Up Date]]=TODAY(),1,0)</f>
        <v>0</v>
      </c>
    </row>
    <row r="45" spans="1:16" x14ac:dyDescent="0.25">
      <c r="A45">
        <v>83</v>
      </c>
      <c r="B45">
        <v>456789456</v>
      </c>
      <c r="C45" t="s">
        <v>104</v>
      </c>
      <c r="D45" t="s">
        <v>146</v>
      </c>
      <c r="E45" t="s">
        <v>183</v>
      </c>
      <c r="F45" t="s">
        <v>142</v>
      </c>
      <c r="G45" s="1">
        <v>46248</v>
      </c>
      <c r="H45" s="1">
        <v>46249</v>
      </c>
      <c r="I45" t="s">
        <v>184</v>
      </c>
      <c r="K45">
        <f ca="1">IF(tblNeeds[[#This Row],[Status]]="Done",tblNeeds[[#This Row],[Date Cleared]]-tblNeeds[[#This Row],[Due Date]],TODAY()-tblNeeds[[#This Row],[Due Date]])</f>
        <v>-30</v>
      </c>
      <c r="M45">
        <f>IF(tblNeeds[[#This Row],[Status]]="Done",0,1)</f>
        <v>1</v>
      </c>
      <c r="N45" t="str">
        <f>IF(tblNeeds[[#This Row],[Status]]="Done","",
tblNeeds[[#This Row],[Task]] &amp; IF(tblNeeds[[#This Row],[Due Date]]&lt;&gt;""," (Due " &amp; TEXT(tblNeeds[[#This Row],[Due Date]],"m/d") &amp; ")",""))</f>
        <v>Quit Claim Deed (Due 8/14)</v>
      </c>
      <c r="O45">
        <f ca="1">IF(AND(tblNeeds[[#This Row],[Status]]="Open",tblNeeds[[#This Row],[Due Date]]&lt;TODAY()),1,0)</f>
        <v>0</v>
      </c>
      <c r="P45">
        <f ca="1">IF(tblNeeds[[#This Row],[Follow Up Date]]=TODAY(),1,0)</f>
        <v>0</v>
      </c>
    </row>
    <row r="46" spans="1:16" x14ac:dyDescent="0.25">
      <c r="A46">
        <v>84</v>
      </c>
      <c r="B46">
        <v>456789456</v>
      </c>
      <c r="C46" t="s">
        <v>104</v>
      </c>
      <c r="D46" t="s">
        <v>149</v>
      </c>
      <c r="E46" t="s">
        <v>185</v>
      </c>
      <c r="F46" t="s">
        <v>142</v>
      </c>
      <c r="G46" s="1">
        <v>46242</v>
      </c>
      <c r="H46" s="1">
        <v>46243</v>
      </c>
      <c r="K46">
        <f ca="1">IF(tblNeeds[[#This Row],[Status]]="Done",tblNeeds[[#This Row],[Date Cleared]]-tblNeeds[[#This Row],[Due Date]],TODAY()-tblNeeds[[#This Row],[Due Date]])</f>
        <v>-24</v>
      </c>
      <c r="M46">
        <f>IF(tblNeeds[[#This Row],[Status]]="Done",0,1)</f>
        <v>1</v>
      </c>
      <c r="N46" t="str">
        <f>IF(tblNeeds[[#This Row],[Status]]="Done","",
tblNeeds[[#This Row],[Task]] &amp; IF(tblNeeds[[#This Row],[Due Date]]&lt;&gt;""," (Due " &amp; TEXT(tblNeeds[[#This Row],[Due Date]],"m/d") &amp; ")",""))</f>
        <v>Signed contract addendum (Due 8/8)</v>
      </c>
      <c r="O46">
        <f ca="1">IF(AND(tblNeeds[[#This Row],[Status]]="Open",tblNeeds[[#This Row],[Due Date]]&lt;TODAY()),1,0)</f>
        <v>0</v>
      </c>
      <c r="P46">
        <f ca="1">IF(tblNeeds[[#This Row],[Follow Up Date]]=TODAY(),1,0)</f>
        <v>0</v>
      </c>
    </row>
    <row r="47" spans="1:16" x14ac:dyDescent="0.25">
      <c r="A47">
        <v>85</v>
      </c>
      <c r="B47">
        <v>654789321</v>
      </c>
      <c r="C47" t="s">
        <v>113</v>
      </c>
      <c r="D47" t="s">
        <v>140</v>
      </c>
      <c r="E47" t="s">
        <v>179</v>
      </c>
      <c r="F47" t="s">
        <v>144</v>
      </c>
      <c r="G47" s="1">
        <v>46128</v>
      </c>
      <c r="H47" s="1">
        <v>46129</v>
      </c>
      <c r="J47" s="1">
        <v>46164</v>
      </c>
      <c r="K47">
        <f ca="1">IF(tblNeeds[[#This Row],[Status]]="Done",tblNeeds[[#This Row],[Date Cleared]]-tblNeeds[[#This Row],[Due Date]],TODAY()-tblNeeds[[#This Row],[Due Date]])</f>
        <v>36</v>
      </c>
      <c r="M47">
        <f>IF(tblNeeds[[#This Row],[Status]]="Done",0,1)</f>
        <v>0</v>
      </c>
      <c r="N47" t="str">
        <f>IF(tblNeeds[[#This Row],[Status]]="Done","",
tblNeeds[[#This Row],[Task]] &amp; IF(tblNeeds[[#This Row],[Due Date]]&lt;&gt;""," (Due " &amp; TEXT(tblNeeds[[#This Row],[Due Date]],"m/d") &amp; ")",""))</f>
        <v/>
      </c>
      <c r="O47">
        <f ca="1">IF(AND(tblNeeds[[#This Row],[Status]]="Open",tblNeeds[[#This Row],[Due Date]]&lt;TODAY()),1,0)</f>
        <v>0</v>
      </c>
      <c r="P47">
        <f ca="1">IF(tblNeeds[[#This Row],[Follow Up Date]]=TODAY(),1,0)</f>
        <v>0</v>
      </c>
    </row>
    <row r="48" spans="1:16" x14ac:dyDescent="0.25">
      <c r="A48">
        <v>86</v>
      </c>
      <c r="B48">
        <v>654789321</v>
      </c>
      <c r="C48" t="s">
        <v>113</v>
      </c>
      <c r="D48" t="s">
        <v>140</v>
      </c>
      <c r="E48" t="s">
        <v>186</v>
      </c>
      <c r="F48" t="s">
        <v>142</v>
      </c>
      <c r="G48" s="1">
        <v>46227</v>
      </c>
      <c r="H48" s="1">
        <v>46228</v>
      </c>
      <c r="K48">
        <f ca="1">IF(tblNeeds[[#This Row],[Status]]="Done",tblNeeds[[#This Row],[Date Cleared]]-tblNeeds[[#This Row],[Due Date]],TODAY()-tblNeeds[[#This Row],[Due Date]])</f>
        <v>-9</v>
      </c>
      <c r="M48">
        <f>IF(tblNeeds[[#This Row],[Status]]="Done",0,1)</f>
        <v>1</v>
      </c>
      <c r="N48" t="str">
        <f>IF(tblNeeds[[#This Row],[Status]]="Done","",
tblNeeds[[#This Row],[Task]] &amp; IF(tblNeeds[[#This Row],[Due Date]]&lt;&gt;""," (Due " &amp; TEXT(tblNeeds[[#This Row],[Due Date]],"m/d") &amp; ")",""))</f>
        <v>w2 (Due 7/24)</v>
      </c>
      <c r="O48">
        <f ca="1">IF(AND(tblNeeds[[#This Row],[Status]]="Open",tblNeeds[[#This Row],[Due Date]]&lt;TODAY()),1,0)</f>
        <v>0</v>
      </c>
      <c r="P48">
        <f ca="1">IF(tblNeeds[[#This Row],[Follow Up Date]]=TODAY(),1,0)</f>
        <v>0</v>
      </c>
    </row>
    <row r="49" spans="1:16" x14ac:dyDescent="0.25">
      <c r="A49">
        <v>87</v>
      </c>
      <c r="B49">
        <v>654789321</v>
      </c>
      <c r="C49" t="s">
        <v>113</v>
      </c>
      <c r="D49" t="s">
        <v>140</v>
      </c>
      <c r="E49" t="s">
        <v>166</v>
      </c>
      <c r="F49" t="s">
        <v>144</v>
      </c>
      <c r="G49" s="1">
        <v>46128</v>
      </c>
      <c r="H49" s="1">
        <v>46129</v>
      </c>
      <c r="J49" s="1">
        <v>46126</v>
      </c>
      <c r="K49">
        <f ca="1">IF(tblNeeds[[#This Row],[Status]]="Done",tblNeeds[[#This Row],[Date Cleared]]-tblNeeds[[#This Row],[Due Date]],TODAY()-tblNeeds[[#This Row],[Due Date]])</f>
        <v>-2</v>
      </c>
      <c r="M49">
        <f>IF(tblNeeds[[#This Row],[Status]]="Done",0,1)</f>
        <v>0</v>
      </c>
      <c r="N49" t="str">
        <f>IF(tblNeeds[[#This Row],[Status]]="Done","",
tblNeeds[[#This Row],[Task]] &amp; IF(tblNeeds[[#This Row],[Due Date]]&lt;&gt;""," (Due " &amp; TEXT(tblNeeds[[#This Row],[Due Date]],"m/d") &amp; ")",""))</f>
        <v/>
      </c>
      <c r="O49">
        <f ca="1">IF(AND(tblNeeds[[#This Row],[Status]]="Open",tblNeeds[[#This Row],[Due Date]]&lt;TODAY()),1,0)</f>
        <v>0</v>
      </c>
      <c r="P49">
        <f ca="1">IF(tblNeeds[[#This Row],[Follow Up Date]]=TODAY(),1,0)</f>
        <v>0</v>
      </c>
    </row>
    <row r="50" spans="1:16" x14ac:dyDescent="0.25">
      <c r="A50">
        <v>88</v>
      </c>
      <c r="B50">
        <v>654789321</v>
      </c>
      <c r="C50" t="s">
        <v>113</v>
      </c>
      <c r="D50" t="s">
        <v>146</v>
      </c>
      <c r="E50" t="s">
        <v>156</v>
      </c>
      <c r="F50" t="s">
        <v>142</v>
      </c>
      <c r="G50" s="1">
        <v>46228</v>
      </c>
      <c r="H50" s="1">
        <v>46229</v>
      </c>
      <c r="K50">
        <f ca="1">IF(tblNeeds[[#This Row],[Status]]="Done",tblNeeds[[#This Row],[Date Cleared]]-tblNeeds[[#This Row],[Due Date]],TODAY()-tblNeeds[[#This Row],[Due Date]])</f>
        <v>-10</v>
      </c>
      <c r="M50">
        <f>IF(tblNeeds[[#This Row],[Status]]="Done",0,1)</f>
        <v>1</v>
      </c>
      <c r="N50" t="str">
        <f>IF(tblNeeds[[#This Row],[Status]]="Done","",
tblNeeds[[#This Row],[Task]] &amp; IF(tblNeeds[[#This Row],[Due Date]]&lt;&gt;""," (Due " &amp; TEXT(tblNeeds[[#This Row],[Due Date]],"m/d") &amp; ")",""))</f>
        <v>Prelim CD (Due 7/25)</v>
      </c>
      <c r="O50">
        <f ca="1">IF(AND(tblNeeds[[#This Row],[Status]]="Open",tblNeeds[[#This Row],[Due Date]]&lt;TODAY()),1,0)</f>
        <v>0</v>
      </c>
      <c r="P50">
        <f ca="1">IF(tblNeeds[[#This Row],[Follow Up Date]]=TODAY(),1,0)</f>
        <v>0</v>
      </c>
    </row>
    <row r="51" spans="1:16" x14ac:dyDescent="0.25">
      <c r="A51">
        <v>89</v>
      </c>
      <c r="B51">
        <v>654789321</v>
      </c>
      <c r="C51" t="s">
        <v>113</v>
      </c>
      <c r="D51" t="s">
        <v>146</v>
      </c>
      <c r="E51" t="s">
        <v>158</v>
      </c>
      <c r="F51" t="s">
        <v>144</v>
      </c>
      <c r="G51" s="1">
        <v>46133</v>
      </c>
      <c r="H51" s="1">
        <v>46134</v>
      </c>
      <c r="J51" s="1">
        <v>46195</v>
      </c>
      <c r="K51">
        <f ca="1">IF(tblNeeds[[#This Row],[Status]]="Done",tblNeeds[[#This Row],[Date Cleared]]-tblNeeds[[#This Row],[Due Date]],TODAY()-tblNeeds[[#This Row],[Due Date]])</f>
        <v>62</v>
      </c>
      <c r="M51">
        <f>IF(tblNeeds[[#This Row],[Status]]="Done",0,1)</f>
        <v>0</v>
      </c>
      <c r="N51" t="str">
        <f>IF(tblNeeds[[#This Row],[Status]]="Done","",
tblNeeds[[#This Row],[Task]] &amp; IF(tblNeeds[[#This Row],[Due Date]]&lt;&gt;""," (Due " &amp; TEXT(tblNeeds[[#This Row],[Due Date]],"m/d") &amp; ")",""))</f>
        <v/>
      </c>
      <c r="O51">
        <f ca="1">IF(AND(tblNeeds[[#This Row],[Status]]="Open",tblNeeds[[#This Row],[Due Date]]&lt;TODAY()),1,0)</f>
        <v>0</v>
      </c>
      <c r="P51">
        <f ca="1">IF(tblNeeds[[#This Row],[Follow Up Date]]=TODAY(),1,0)</f>
        <v>0</v>
      </c>
    </row>
    <row r="52" spans="1:16" x14ac:dyDescent="0.25">
      <c r="A52">
        <v>90</v>
      </c>
      <c r="B52">
        <v>654789321</v>
      </c>
      <c r="C52" t="s">
        <v>113</v>
      </c>
      <c r="D52" t="s">
        <v>146</v>
      </c>
      <c r="E52" t="s">
        <v>157</v>
      </c>
      <c r="F52" t="s">
        <v>142</v>
      </c>
      <c r="G52" s="1">
        <v>46228</v>
      </c>
      <c r="H52" s="1">
        <v>46229</v>
      </c>
      <c r="K52">
        <f ca="1">IF(tblNeeds[[#This Row],[Status]]="Done",tblNeeds[[#This Row],[Date Cleared]]-tblNeeds[[#This Row],[Due Date]],TODAY()-tblNeeds[[#This Row],[Due Date]])</f>
        <v>-10</v>
      </c>
      <c r="M52">
        <f>IF(tblNeeds[[#This Row],[Status]]="Done",0,1)</f>
        <v>1</v>
      </c>
      <c r="N52" t="str">
        <f>IF(tblNeeds[[#This Row],[Status]]="Done","",
tblNeeds[[#This Row],[Task]] &amp; IF(tblNeeds[[#This Row],[Due Date]]&lt;&gt;""," (Due " &amp; TEXT(tblNeeds[[#This Row],[Due Date]],"m/d") &amp; ")",""))</f>
        <v>Title Binder (Due 7/25)</v>
      </c>
      <c r="O52">
        <f ca="1">IF(AND(tblNeeds[[#This Row],[Status]]="Open",tblNeeds[[#This Row],[Due Date]]&lt;TODAY()),1,0)</f>
        <v>0</v>
      </c>
      <c r="P52">
        <f ca="1">IF(tblNeeds[[#This Row],[Follow Up Date]]=TODAY(),1,0)</f>
        <v>0</v>
      </c>
    </row>
    <row r="53" spans="1:16" x14ac:dyDescent="0.25">
      <c r="A53">
        <v>91</v>
      </c>
      <c r="B53">
        <v>654789321</v>
      </c>
      <c r="C53" t="s">
        <v>113</v>
      </c>
      <c r="D53" t="s">
        <v>149</v>
      </c>
      <c r="E53" t="s">
        <v>177</v>
      </c>
      <c r="F53" t="s">
        <v>142</v>
      </c>
      <c r="G53" s="1">
        <v>46214</v>
      </c>
      <c r="H53" s="1">
        <v>46215</v>
      </c>
      <c r="K53">
        <f ca="1">IF(tblNeeds[[#This Row],[Status]]="Done",tblNeeds[[#This Row],[Date Cleared]]-tblNeeds[[#This Row],[Due Date]],TODAY()-tblNeeds[[#This Row],[Due Date]])</f>
        <v>4</v>
      </c>
      <c r="M53">
        <f>IF(tblNeeds[[#This Row],[Status]]="Done",0,1)</f>
        <v>1</v>
      </c>
      <c r="N53" t="str">
        <f>IF(tblNeeds[[#This Row],[Status]]="Done","",
tblNeeds[[#This Row],[Task]] &amp; IF(tblNeeds[[#This Row],[Due Date]]&lt;&gt;""," (Due " &amp; TEXT(tblNeeds[[#This Row],[Due Date]],"m/d") &amp; ")",""))</f>
        <v>Addendum to contract (Due 7/11)</v>
      </c>
      <c r="O53">
        <f ca="1">IF(AND(tblNeeds[[#This Row],[Status]]="Open",tblNeeds[[#This Row],[Due Date]]&lt;TODAY()),1,0)</f>
        <v>1</v>
      </c>
      <c r="P53">
        <f ca="1">IF(tblNeeds[[#This Row],[Follow Up Date]]=TODAY(),1,0)</f>
        <v>0</v>
      </c>
    </row>
    <row r="54" spans="1:16" x14ac:dyDescent="0.25">
      <c r="A54">
        <v>92</v>
      </c>
      <c r="B54">
        <v>456789456</v>
      </c>
      <c r="C54" t="s">
        <v>104</v>
      </c>
      <c r="D54" t="s">
        <v>140</v>
      </c>
      <c r="E54" t="s">
        <v>178</v>
      </c>
      <c r="F54" t="s">
        <v>142</v>
      </c>
      <c r="G54" s="1">
        <v>46242</v>
      </c>
      <c r="H54" s="1">
        <v>46243</v>
      </c>
      <c r="K54">
        <f ca="1">IF(tblNeeds[[#This Row],[Status]]="Done",tblNeeds[[#This Row],[Date Cleared]]-tblNeeds[[#This Row],[Due Date]],TODAY()-tblNeeds[[#This Row],[Due Date]])</f>
        <v>-24</v>
      </c>
      <c r="M54">
        <f>IF(tblNeeds[[#This Row],[Status]]="Done",0,1)</f>
        <v>1</v>
      </c>
      <c r="N54" t="str">
        <f>IF(tblNeeds[[#This Row],[Status]]="Done","",
tblNeeds[[#This Row],[Task]] &amp; IF(tblNeeds[[#This Row],[Due Date]]&lt;&gt;""," (Due " &amp; TEXT(tblNeeds[[#This Row],[Due Date]],"m/d") &amp; ")",""))</f>
        <v>page 4 of bank statement (Due 8/8)</v>
      </c>
      <c r="O54">
        <f ca="1">IF(AND(tblNeeds[[#This Row],[Status]]="Open",tblNeeds[[#This Row],[Due Date]]&lt;TODAY()),1,0)</f>
        <v>0</v>
      </c>
      <c r="P54">
        <f ca="1">IF(tblNeeds[[#This Row],[Follow Up Date]]=TODAY(),1,0)</f>
        <v>0</v>
      </c>
    </row>
    <row r="55" spans="1:16" x14ac:dyDescent="0.25">
      <c r="A55">
        <v>93</v>
      </c>
      <c r="B55">
        <v>4687641351</v>
      </c>
      <c r="C55" t="s">
        <v>79</v>
      </c>
      <c r="D55" t="s">
        <v>140</v>
      </c>
      <c r="E55" t="s">
        <v>179</v>
      </c>
      <c r="F55" t="s">
        <v>142</v>
      </c>
      <c r="G55" s="1">
        <v>46234</v>
      </c>
      <c r="H55" s="1">
        <v>46235</v>
      </c>
      <c r="K55">
        <f ca="1">IF(tblNeeds[[#This Row],[Status]]="Done",tblNeeds[[#This Row],[Date Cleared]]-tblNeeds[[#This Row],[Due Date]],TODAY()-tblNeeds[[#This Row],[Due Date]])</f>
        <v>-16</v>
      </c>
      <c r="M55">
        <f>IF(tblNeeds[[#This Row],[Status]]="Done",0,1)</f>
        <v>1</v>
      </c>
      <c r="N55" t="str">
        <f>IF(tblNeeds[[#This Row],[Status]]="Done","",
tblNeeds[[#This Row],[Task]] &amp; IF(tblNeeds[[#This Row],[Due Date]]&lt;&gt;""," (Due " &amp; TEXT(tblNeeds[[#This Row],[Due Date]],"m/d") &amp; ")",""))</f>
        <v>paystub (Due 7/31)</v>
      </c>
      <c r="O55">
        <f ca="1">IF(AND(tblNeeds[[#This Row],[Status]]="Open",tblNeeds[[#This Row],[Due Date]]&lt;TODAY()),1,0)</f>
        <v>0</v>
      </c>
      <c r="P55">
        <f ca="1">IF(tblNeeds[[#This Row],[Follow Up Date]]=TODAY(),1,0)</f>
        <v>0</v>
      </c>
    </row>
    <row r="56" spans="1:16" x14ac:dyDescent="0.25">
      <c r="A56">
        <v>94</v>
      </c>
      <c r="B56">
        <v>987654321</v>
      </c>
      <c r="C56" t="s">
        <v>60</v>
      </c>
      <c r="D56" t="s">
        <v>140</v>
      </c>
      <c r="E56" t="s">
        <v>187</v>
      </c>
      <c r="F56" t="s">
        <v>142</v>
      </c>
      <c r="G56" s="1">
        <v>46221</v>
      </c>
      <c r="H56" s="1">
        <v>46222</v>
      </c>
      <c r="K56">
        <f ca="1">IF(tblNeeds[[#This Row],[Status]]="Done",tblNeeds[[#This Row],[Date Cleared]]-tblNeeds[[#This Row],[Due Date]],TODAY()-tblNeeds[[#This Row],[Due Date]])</f>
        <v>-3</v>
      </c>
      <c r="M56">
        <f>IF(tblNeeds[[#This Row],[Status]]="Done",0,1)</f>
        <v>1</v>
      </c>
      <c r="N56" t="str">
        <f>IF(tblNeeds[[#This Row],[Status]]="Done","",
tblNeeds[[#This Row],[Task]] &amp; IF(tblNeeds[[#This Row],[Due Date]]&lt;&gt;""," (Due " &amp; TEXT(tblNeeds[[#This Row],[Due Date]],"m/d") &amp; ")",""))</f>
        <v>paystub from new job (Due 7/18)</v>
      </c>
      <c r="O56">
        <f ca="1">IF(AND(tblNeeds[[#This Row],[Status]]="Open",tblNeeds[[#This Row],[Due Date]]&lt;TODAY()),1,0)</f>
        <v>0</v>
      </c>
      <c r="P56">
        <f ca="1">IF(tblNeeds[[#This Row],[Follow Up Date]]=TODAY(),1,0)</f>
        <v>0</v>
      </c>
    </row>
    <row r="57" spans="1:16" x14ac:dyDescent="0.25">
      <c r="A57">
        <v>95</v>
      </c>
      <c r="B57">
        <v>987654321</v>
      </c>
      <c r="C57" t="s">
        <v>60</v>
      </c>
      <c r="D57" t="s">
        <v>140</v>
      </c>
      <c r="E57" t="s">
        <v>188</v>
      </c>
      <c r="F57" t="s">
        <v>144</v>
      </c>
      <c r="G57" s="1">
        <v>46220</v>
      </c>
      <c r="H57" s="1"/>
      <c r="J57" s="1">
        <v>46218</v>
      </c>
      <c r="K57" s="95">
        <f ca="1">IF(tblNeeds[[#This Row],[Status]]="Done",tblNeeds[[#This Row],[Date Cleared]]-tblNeeds[[#This Row],[Due Date]],TODAY()-tblNeeds[[#This Row],[Due Date]])</f>
        <v>-2</v>
      </c>
      <c r="M57">
        <f>IF(tblNeeds[[#This Row],[Status]]="Done",0,1)</f>
        <v>0</v>
      </c>
      <c r="N57" t="str">
        <f>IF(tblNeeds[[#This Row],[Status]]="Done","",
tblNeeds[[#This Row],[Task]] &amp; IF(tblNeeds[[#This Row],[Due Date]]&lt;&gt;""," (Due " &amp; TEXT(tblNeeds[[#This Row],[Due Date]],"m/d") &amp; ")",""))</f>
        <v/>
      </c>
      <c r="O57">
        <f ca="1">IF(AND(tblNeeds[[#This Row],[Status]]="Open",tblNeeds[[#This Row],[Due Date]]&lt;TODAY()),1,0)</f>
        <v>0</v>
      </c>
      <c r="P57">
        <f ca="1">IF(tblNeeds[[#This Row],[Follow Up Date]]=TODAY(),1,0)</f>
        <v>0</v>
      </c>
    </row>
  </sheetData>
  <dataValidations count="2">
    <dataValidation type="list" allowBlank="1" showInputMessage="1" showErrorMessage="1" sqref="D2:D57" xr:uid="{D8ADC892-D2F8-44A4-94B4-F7D2CF40B1EC}">
      <formula1>"Borrower, Title, Realtor"</formula1>
    </dataValidation>
    <dataValidation type="list" allowBlank="1" showInputMessage="1" showErrorMessage="1" sqref="F2:F57" xr:uid="{D1078377-DDB6-4E41-9B84-BB1943B0682E}">
      <formula1>"Open, Done"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Dashboard</vt:lpstr>
      <vt:lpstr>Lists</vt:lpstr>
      <vt:lpstr>Needs Log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Megan Fallers</dc:creator>
  <cp:keywords/>
  <dc:description/>
  <cp:lastModifiedBy>Megan Fallers</cp:lastModifiedBy>
  <cp:revision/>
  <dcterms:created xsi:type="dcterms:W3CDTF">2026-04-02T17:25:12Z</dcterms:created>
  <dcterms:modified xsi:type="dcterms:W3CDTF">2026-07-15T19:32:18Z</dcterms:modified>
  <cp:category/>
  <cp:contentStatus/>
</cp:coreProperties>
</file>